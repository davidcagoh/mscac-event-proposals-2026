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ML Trivia Night (Dec 19 2025)" sheetId="2" state="visible" r:id="rId2"/>
    <sheet xmlns:r="http://schemas.openxmlformats.org/officeDocument/2006/relationships" name="Wellness Cafe (Jan 22 2026)" sheetId="3" state="visible" r:id="rId3"/>
    <sheet xmlns:r="http://schemas.openxmlformats.org/officeDocument/2006/relationships" name="Bouldering &amp; Social Mixer (Feb " sheetId="4" state="visible" r:id="rId4"/>
    <sheet xmlns:r="http://schemas.openxmlformats.org/officeDocument/2006/relationships" name="Lunar New Year Celebration (Feb" sheetId="5" state="visible" r:id="rId5"/>
    <sheet xmlns:r="http://schemas.openxmlformats.org/officeDocument/2006/relationships" name="Super Bowl Watch Party (Feb 8 2" sheetId="6" state="visible" r:id="rId6"/>
    <sheet xmlns:r="http://schemas.openxmlformats.org/officeDocument/2006/relationships" name="Interview Prep Night (Nov 7 202" sheetId="7" state="visible" r:id="rId7"/>
    <sheet xmlns:r="http://schemas.openxmlformats.org/officeDocument/2006/relationships" name="FIFA World Cup Final Watch Pa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h:mm am/pm"/>
  </numFmts>
  <fonts count="31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2F5233"/>
      <sz val="11"/>
    </font>
    <font>
      <name val="Arial"/>
      <b val="1"/>
      <color rgb="FF000000"/>
      <sz val="10"/>
    </font>
    <font>
      <name val="Arial"/>
      <b val="1"/>
      <color theme="1"/>
      <sz val="10"/>
    </font>
    <font>
      <name val="Arial"/>
      <color theme="1"/>
      <sz val="10"/>
    </font>
    <font>
      <name val="Roboto"/>
      <color rgb="FF434343"/>
    </font>
    <font>
      <name val="Arial"/>
      <color rgb="FF434343"/>
      <sz val="10"/>
    </font>
    <font>
      <name val="Arial"/>
      <color rgb="FF1C1E21"/>
      <sz val="10"/>
    </font>
    <font>
      <name val="Arial"/>
      <color theme="1"/>
      <scheme val="minor"/>
    </font>
    <font>
      <name val="Arial"/>
      <b val="1"/>
      <i val="1"/>
      <color theme="1"/>
      <sz val="10"/>
    </font>
    <font>
      <name val="Arial"/>
      <b val="1"/>
      <color theme="1"/>
      <scheme val="minor"/>
    </font>
    <font>
      <name val="Arial"/>
      <b val="1"/>
      <color rgb="FF1155CC"/>
      <u val="single"/>
    </font>
    <font>
      <name val="Arial"/>
      <b val="1"/>
      <color theme="1"/>
    </font>
    <font>
      <name val="Arial"/>
      <color theme="1"/>
    </font>
    <font>
      <name val="Arial"/>
      <b val="1"/>
      <i val="1"/>
      <color theme="1"/>
    </font>
    <font>
      <name val="Arial"/>
      <b val="1"/>
      <color rgb="FF434343"/>
      <sz val="10"/>
    </font>
    <font>
      <name val="Arial"/>
      <b val="1"/>
      <color rgb="FFFF0000"/>
      <scheme val="minor"/>
    </font>
    <font>
      <name val="Arial"/>
      <b val="1"/>
      <color rgb="FFFF0000"/>
      <sz val="10"/>
    </font>
    <font>
      <name val="Arial"/>
      <color rgb="FF1C1E21"/>
    </font>
    <font>
      <name val="Arial"/>
      <b val="1"/>
      <color rgb="FF0000FF"/>
      <u val="single"/>
    </font>
    <font>
      <name val="Arial"/>
      <b val="1"/>
      <color rgb="FF000000"/>
    </font>
    <font>
      <name val="Arial"/>
      <color rgb="FF434343"/>
    </font>
    <font>
      <name val="Arial"/>
      <b val="1"/>
      <i val="1"/>
      <color theme="1"/>
      <scheme val="minor"/>
    </font>
    <font>
      <name val="Arial"/>
      <color rgb="FF0000FF"/>
      <u val="single"/>
    </font>
    <font>
      <color rgb="FF0000FF"/>
      <u val="single"/>
    </font>
    <font>
      <name val="Arial"/>
      <color rgb="FF1155CC"/>
      <u val="single"/>
    </font>
    <font>
      <name val="Arial"/>
      <b val="1"/>
      <color rgb="FFFF0000"/>
    </font>
    <font>
      <name val="Arial"/>
      <b val="1"/>
      <color rgb="FF1F1F1F"/>
    </font>
  </fonts>
  <fills count="13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wrapText="1"/>
    </xf>
    <xf numFmtId="0" fontId="6" fillId="4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164" fontId="7" fillId="0" borderId="0" applyAlignment="1" pivotButton="0" quotePrefix="0" xfId="0">
      <alignment wrapText="1"/>
    </xf>
    <xf numFmtId="164" fontId="7" fillId="0" borderId="0" applyAlignment="1" pivotButton="0" quotePrefix="0" xfId="0">
      <alignment horizontal="right" wrapText="1"/>
    </xf>
    <xf numFmtId="0" fontId="7" fillId="0" borderId="0" pivotButton="0" quotePrefix="0" xfId="0"/>
    <xf numFmtId="0" fontId="8" fillId="5" borderId="0" applyAlignment="1" pivotButton="0" quotePrefix="0" xfId="0">
      <alignment vertical="bottom" wrapText="1"/>
    </xf>
    <xf numFmtId="164" fontId="9" fillId="5" borderId="0" applyAlignment="1" pivotButton="0" quotePrefix="0" xfId="0">
      <alignment horizontal="right" wrapText="1"/>
    </xf>
    <xf numFmtId="0" fontId="9" fillId="5" borderId="0" applyAlignment="1" pivotButton="0" quotePrefix="0" xfId="0">
      <alignment horizontal="right" wrapText="1"/>
    </xf>
    <xf numFmtId="0" fontId="8" fillId="6" borderId="0" applyAlignment="1" pivotButton="0" quotePrefix="0" xfId="0">
      <alignment vertical="bottom" wrapText="1"/>
    </xf>
    <xf numFmtId="164" fontId="9" fillId="6" borderId="0" applyAlignment="1" pivotButton="0" quotePrefix="0" xfId="0">
      <alignment horizontal="right" wrapText="1"/>
    </xf>
    <xf numFmtId="0" fontId="9" fillId="6" borderId="0" applyAlignment="1" pivotButton="0" quotePrefix="0" xfId="0">
      <alignment horizontal="right" wrapText="1"/>
    </xf>
    <xf numFmtId="0" fontId="10" fillId="0" borderId="0" pivotButton="0" quotePrefix="0" xfId="0"/>
    <xf numFmtId="0" fontId="10" fillId="5" borderId="0" applyAlignment="1" pivotButton="0" quotePrefix="0" xfId="0">
      <alignment wrapText="1"/>
    </xf>
    <xf numFmtId="0" fontId="9" fillId="5" borderId="0" applyAlignment="1" pivotButton="0" quotePrefix="0" xfId="0">
      <alignment wrapText="1"/>
    </xf>
    <xf numFmtId="0" fontId="9" fillId="6" borderId="0" applyAlignment="1" pivotButton="0" quotePrefix="0" xfId="0">
      <alignment wrapText="1"/>
    </xf>
    <xf numFmtId="0" fontId="8" fillId="6" borderId="0" applyAlignment="1" pivotButton="0" quotePrefix="0" xfId="0">
      <alignment wrapText="1"/>
    </xf>
    <xf numFmtId="0" fontId="11" fillId="0" borderId="0" pivotButton="0" quotePrefix="0" xfId="0"/>
    <xf numFmtId="164" fontId="11" fillId="0" borderId="0" pivotButton="0" quotePrefix="0" xfId="0"/>
    <xf numFmtId="164" fontId="7" fillId="0" borderId="0" pivotButton="0" quotePrefix="0" xfId="0"/>
    <xf numFmtId="0" fontId="6" fillId="0" borderId="0" applyAlignment="1" pivotButton="0" quotePrefix="0" xfId="0">
      <alignment wrapText="1"/>
    </xf>
    <xf numFmtId="164" fontId="6" fillId="0" borderId="0" applyAlignment="1" pivotButton="0" quotePrefix="0" xfId="0">
      <alignment wrapText="1"/>
    </xf>
    <xf numFmtId="0" fontId="12" fillId="0" borderId="0" pivotButton="0" quotePrefix="0" xfId="0"/>
    <xf numFmtId="0" fontId="7" fillId="0" borderId="0" applyAlignment="1" pivotButton="0" quotePrefix="0" xfId="0">
      <alignment horizontal="left" wrapText="1"/>
    </xf>
    <xf numFmtId="9" fontId="7" fillId="0" borderId="0" applyAlignment="1" pivotButton="0" quotePrefix="0" xfId="0">
      <alignment wrapText="1"/>
    </xf>
    <xf numFmtId="0" fontId="13" fillId="0" borderId="0" pivotButton="0" quotePrefix="0" xfId="0"/>
    <xf numFmtId="164" fontId="13" fillId="0" borderId="0" pivotButton="0" quotePrefix="0" xfId="0"/>
    <xf numFmtId="9" fontId="11" fillId="0" borderId="0" applyAlignment="1" pivotButton="0" quotePrefix="0" xfId="0">
      <alignment wrapText="1"/>
    </xf>
    <xf numFmtId="0" fontId="6" fillId="3" borderId="0" applyAlignment="1" pivotButton="0" quotePrefix="0" xfId="0">
      <alignment wrapText="1"/>
    </xf>
    <xf numFmtId="164" fontId="6" fillId="3" borderId="0" applyAlignment="1" pivotButton="0" quotePrefix="0" xfId="0">
      <alignment horizontal="right" wrapText="1"/>
    </xf>
    <xf numFmtId="0" fontId="14" fillId="3" borderId="0" applyAlignment="1" pivotButton="0" quotePrefix="0" xfId="0">
      <alignment vertical="bottom" wrapText="1"/>
    </xf>
    <xf numFmtId="0" fontId="15" fillId="4" borderId="0" applyAlignment="1" pivotButton="0" quotePrefix="0" xfId="0">
      <alignment vertical="bottom" wrapText="1"/>
    </xf>
    <xf numFmtId="0" fontId="16" fillId="7" borderId="0" applyAlignment="1" pivotButton="0" quotePrefix="0" xfId="0">
      <alignment horizontal="right" vertical="bottom" wrapText="1"/>
    </xf>
    <xf numFmtId="164" fontId="16" fillId="7" borderId="0" applyAlignment="1" pivotButton="0" quotePrefix="0" xfId="0">
      <alignment horizontal="right" vertical="bottom" wrapText="1"/>
    </xf>
    <xf numFmtId="164" fontId="9" fillId="8" borderId="0" applyAlignment="1" pivotButton="0" quotePrefix="0" xfId="0">
      <alignment horizontal="right" wrapText="1"/>
    </xf>
    <xf numFmtId="0" fontId="8" fillId="9" borderId="0" applyAlignment="1" pivotButton="0" quotePrefix="0" xfId="0">
      <alignment vertical="bottom" wrapText="1"/>
    </xf>
    <xf numFmtId="164" fontId="13" fillId="8" borderId="0" pivotButton="0" quotePrefix="0" xfId="0"/>
    <xf numFmtId="0" fontId="16" fillId="0" borderId="0" pivotButton="0" quotePrefix="0" xfId="0"/>
    <xf numFmtId="164" fontId="16" fillId="0" borderId="0" pivotButton="0" quotePrefix="0" xfId="0"/>
    <xf numFmtId="0" fontId="16" fillId="0" borderId="0" applyAlignment="1" pivotButton="0" quotePrefix="0" xfId="0">
      <alignment vertical="bottom"/>
    </xf>
    <xf numFmtId="164" fontId="16" fillId="0" borderId="0" applyAlignment="1" pivotButton="0" quotePrefix="0" xfId="0">
      <alignment horizontal="right" vertical="bottom"/>
    </xf>
    <xf numFmtId="0" fontId="17" fillId="0" borderId="0" applyAlignment="1" pivotButton="0" quotePrefix="0" xfId="0">
      <alignment vertical="bottom"/>
    </xf>
    <xf numFmtId="164" fontId="16" fillId="0" borderId="0" applyAlignment="1" pivotButton="0" quotePrefix="0" xfId="0">
      <alignment horizontal="right" vertical="bottom" wrapText="1"/>
    </xf>
    <xf numFmtId="164" fontId="16" fillId="0" borderId="0" applyAlignment="1" pivotButton="0" quotePrefix="0" xfId="0">
      <alignment vertical="bottom"/>
    </xf>
    <xf numFmtId="0" fontId="16" fillId="0" borderId="0" applyAlignment="1" pivotButton="0" quotePrefix="0" xfId="0">
      <alignment vertical="bottom" wrapText="1"/>
    </xf>
    <xf numFmtId="0" fontId="11" fillId="8" borderId="0" pivotButton="0" quotePrefix="0" xfId="0"/>
    <xf numFmtId="0" fontId="15" fillId="0" borderId="0" pivotButton="0" quotePrefix="0" xfId="0"/>
    <xf numFmtId="164" fontId="15" fillId="0" borderId="0" pivotButton="0" quotePrefix="0" xfId="0"/>
    <xf numFmtId="9" fontId="16" fillId="0" borderId="0" applyAlignment="1" pivotButton="0" quotePrefix="0" xfId="0">
      <alignment wrapText="1"/>
    </xf>
    <xf numFmtId="0" fontId="15" fillId="0" borderId="0" applyAlignment="1" pivotButton="0" quotePrefix="0" xfId="0">
      <alignment vertical="bottom"/>
    </xf>
    <xf numFmtId="164" fontId="15" fillId="8" borderId="0" applyAlignment="1" pivotButton="0" quotePrefix="0" xfId="0">
      <alignment horizontal="right" vertical="bottom"/>
    </xf>
    <xf numFmtId="164" fontId="18" fillId="5" borderId="0" applyAlignment="1" pivotButton="0" quotePrefix="0" xfId="0">
      <alignment horizontal="right" wrapText="1"/>
    </xf>
    <xf numFmtId="164" fontId="16" fillId="8" borderId="0" applyAlignment="1" pivotButton="0" quotePrefix="0" xfId="0">
      <alignment horizontal="right" vertical="bottom" wrapText="1"/>
    </xf>
    <xf numFmtId="0" fontId="6" fillId="10" borderId="0" applyAlignment="1" pivotButton="0" quotePrefix="0" xfId="0">
      <alignment wrapText="1"/>
    </xf>
    <xf numFmtId="164" fontId="6" fillId="10" borderId="0" applyAlignment="1" pivotButton="0" quotePrefix="0" xfId="0">
      <alignment horizontal="right" wrapText="1"/>
    </xf>
    <xf numFmtId="0" fontId="15" fillId="10" borderId="0" applyAlignment="1" pivotButton="0" quotePrefix="0" xfId="0">
      <alignment vertical="bottom" wrapText="1"/>
    </xf>
    <xf numFmtId="164" fontId="15" fillId="10" borderId="0" applyAlignment="1" pivotButton="0" quotePrefix="0" xfId="0">
      <alignment horizontal="right" vertical="bottom" wrapText="1"/>
    </xf>
    <xf numFmtId="0" fontId="13" fillId="10" borderId="0" pivotButton="0" quotePrefix="0" xfId="0"/>
    <xf numFmtId="164" fontId="18" fillId="10" borderId="0" applyAlignment="1" pivotButton="0" quotePrefix="0" xfId="0">
      <alignment horizontal="right" wrapText="1"/>
    </xf>
    <xf numFmtId="0" fontId="19" fillId="10" borderId="0" pivotButton="0" quotePrefix="0" xfId="0"/>
    <xf numFmtId="164" fontId="20" fillId="10" borderId="0" applyAlignment="1" pivotButton="0" quotePrefix="0" xfId="0">
      <alignment horizontal="right" wrapText="1"/>
    </xf>
    <xf numFmtId="165" fontId="11" fillId="0" borderId="0" pivotButton="0" quotePrefix="0" xfId="0"/>
    <xf numFmtId="0" fontId="15" fillId="3" borderId="0" applyAlignment="1" pivotButton="0" quotePrefix="0" xfId="0">
      <alignment vertical="bottom" wrapText="1"/>
    </xf>
    <xf numFmtId="0" fontId="16" fillId="0" borderId="0" applyAlignment="1" pivotButton="0" quotePrefix="0" xfId="0">
      <alignment horizontal="right" vertical="bottom" wrapText="1"/>
    </xf>
    <xf numFmtId="0" fontId="21" fillId="0" borderId="0" applyAlignment="1" pivotButton="0" quotePrefix="0" xfId="0">
      <alignment vertical="bottom" wrapText="1"/>
    </xf>
    <xf numFmtId="164" fontId="15" fillId="3" borderId="0" applyAlignment="1" pivotButton="0" quotePrefix="0" xfId="0">
      <alignment horizontal="right" vertical="bottom" wrapText="1"/>
    </xf>
    <xf numFmtId="0" fontId="22" fillId="3" borderId="0" applyAlignment="1" pivotButton="0" quotePrefix="0" xfId="0">
      <alignment vertical="bottom" wrapText="1"/>
    </xf>
    <xf numFmtId="0" fontId="15" fillId="0" borderId="0" applyAlignment="1" pivotButton="0" quotePrefix="0" xfId="0">
      <alignment vertical="bottom" wrapText="1"/>
    </xf>
    <xf numFmtId="164" fontId="15" fillId="0" borderId="0" applyAlignment="1" pivotButton="0" quotePrefix="0" xfId="0">
      <alignment horizontal="right" vertical="bottom" wrapText="1"/>
    </xf>
    <xf numFmtId="0" fontId="23" fillId="3" borderId="0" applyAlignment="1" pivotButton="0" quotePrefix="0" xfId="0">
      <alignment vertical="bottom" wrapText="1"/>
    </xf>
    <xf numFmtId="164" fontId="6" fillId="11" borderId="0" applyAlignment="1" pivotButton="0" quotePrefix="0" xfId="0">
      <alignment horizontal="right" wrapText="1"/>
    </xf>
    <xf numFmtId="164" fontId="24" fillId="5" borderId="0" applyAlignment="1" pivotButton="0" quotePrefix="0" xfId="0">
      <alignment horizontal="right" vertical="bottom" wrapText="1"/>
    </xf>
    <xf numFmtId="0" fontId="24" fillId="5" borderId="0" applyAlignment="1" pivotButton="0" quotePrefix="0" xfId="0">
      <alignment horizontal="right" vertical="bottom" wrapText="1"/>
    </xf>
    <xf numFmtId="0" fontId="16" fillId="5" borderId="0" applyAlignment="1" pivotButton="0" quotePrefix="0" xfId="0">
      <alignment vertical="bottom"/>
    </xf>
    <xf numFmtId="164" fontId="24" fillId="6" borderId="0" applyAlignment="1" pivotButton="0" quotePrefix="0" xfId="0">
      <alignment horizontal="right" vertical="bottom" wrapText="1"/>
    </xf>
    <xf numFmtId="0" fontId="24" fillId="6" borderId="0" applyAlignment="1" pivotButton="0" quotePrefix="0" xfId="0">
      <alignment horizontal="right" vertical="bottom" wrapText="1"/>
    </xf>
    <xf numFmtId="0" fontId="21" fillId="5" borderId="0" applyAlignment="1" pivotButton="0" quotePrefix="0" xfId="0">
      <alignment vertical="bottom" wrapText="1"/>
    </xf>
    <xf numFmtId="0" fontId="16" fillId="5" borderId="0" applyAlignment="1" pivotButton="0" quotePrefix="0" xfId="0">
      <alignment vertical="bottom" wrapText="1"/>
    </xf>
    <xf numFmtId="164" fontId="16" fillId="5" borderId="0" applyAlignment="1" pivotButton="0" quotePrefix="0" xfId="0">
      <alignment horizontal="right" vertical="bottom"/>
    </xf>
    <xf numFmtId="0" fontId="21" fillId="0" borderId="0" applyAlignment="1" pivotButton="0" quotePrefix="0" xfId="0">
      <alignment vertical="bottom"/>
    </xf>
    <xf numFmtId="0" fontId="16" fillId="5" borderId="0" applyAlignment="1" pivotButton="0" quotePrefix="0" xfId="0">
      <alignment horizontal="right" vertical="bottom"/>
    </xf>
    <xf numFmtId="9" fontId="16" fillId="0" borderId="0" applyAlignment="1" pivotButton="0" quotePrefix="0" xfId="0">
      <alignment horizontal="right" vertical="bottom" wrapText="1"/>
    </xf>
    <xf numFmtId="164" fontId="15" fillId="0" borderId="0" applyAlignment="1" pivotButton="0" quotePrefix="0" xfId="0">
      <alignment horizontal="right" vertical="bottom"/>
    </xf>
    <xf numFmtId="0" fontId="24" fillId="6" borderId="0" applyAlignment="1" pivotButton="0" quotePrefix="0" xfId="0">
      <alignment vertical="bottom" wrapText="1"/>
    </xf>
    <xf numFmtId="0" fontId="24" fillId="5" borderId="0" applyAlignment="1" pivotButton="0" quotePrefix="0" xfId="0">
      <alignment vertical="bottom" wrapText="1"/>
    </xf>
    <xf numFmtId="0" fontId="16" fillId="6" borderId="0" applyAlignment="1" pivotButton="0" quotePrefix="0" xfId="0">
      <alignment vertical="bottom"/>
    </xf>
    <xf numFmtId="164" fontId="16" fillId="6" borderId="0" applyAlignment="1" pivotButton="0" quotePrefix="0" xfId="0">
      <alignment vertical="bottom"/>
    </xf>
    <xf numFmtId="164" fontId="6" fillId="3" borderId="0" pivotButton="0" quotePrefix="0" xfId="0"/>
    <xf numFmtId="0" fontId="10" fillId="0" borderId="0" applyAlignment="1" pivotButton="0" quotePrefix="0" xfId="0">
      <alignment wrapText="1"/>
    </xf>
    <xf numFmtId="0" fontId="6" fillId="11" borderId="0" applyAlignment="1" pivotButton="0" quotePrefix="0" xfId="0">
      <alignment wrapText="1"/>
    </xf>
    <xf numFmtId="0" fontId="5" fillId="3" borderId="0" pivotButton="0" quotePrefix="0" xfId="0"/>
    <xf numFmtId="0" fontId="15" fillId="3" borderId="0" applyAlignment="1" pivotButton="0" quotePrefix="0" xfId="0">
      <alignment vertical="bottom"/>
    </xf>
    <xf numFmtId="0" fontId="6" fillId="4" borderId="0" pivotButton="0" quotePrefix="0" xfId="0"/>
    <xf numFmtId="0" fontId="15" fillId="4" borderId="0" applyAlignment="1" pivotButton="0" quotePrefix="0" xfId="0">
      <alignment vertical="bottom"/>
    </xf>
    <xf numFmtId="0" fontId="1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left"/>
    </xf>
    <xf numFmtId="164" fontId="7" fillId="0" borderId="0" applyAlignment="1" pivotButton="0" quotePrefix="0" xfId="0">
      <alignment horizontal="right"/>
    </xf>
    <xf numFmtId="0" fontId="6" fillId="3" borderId="0" pivotButton="0" quotePrefix="0" xfId="0"/>
    <xf numFmtId="164" fontId="6" fillId="3" borderId="0" applyAlignment="1" pivotButton="0" quotePrefix="0" xfId="0">
      <alignment horizontal="right"/>
    </xf>
    <xf numFmtId="164" fontId="15" fillId="3" borderId="0" applyAlignment="1" pivotButton="0" quotePrefix="0" xfId="0">
      <alignment horizontal="right" vertical="bottom"/>
    </xf>
    <xf numFmtId="164" fontId="19" fillId="0" borderId="0" pivotButton="0" quotePrefix="0" xfId="0"/>
    <xf numFmtId="0" fontId="16" fillId="12" borderId="0" applyAlignment="1" pivotButton="0" quotePrefix="0" xfId="0">
      <alignment vertical="bottom"/>
    </xf>
    <xf numFmtId="0" fontId="15" fillId="0" borderId="0" applyAlignment="1" pivotButton="0" quotePrefix="0" xfId="0">
      <alignment horizontal="left" vertical="bottom" wrapText="1"/>
    </xf>
    <xf numFmtId="0" fontId="11" fillId="0" borderId="0" applyAlignment="1" pivotButton="0" quotePrefix="0" xfId="0">
      <alignment horizontal="left" vertical="center" wrapText="1"/>
    </xf>
    <xf numFmtId="164" fontId="16" fillId="0" borderId="0" applyAlignment="1" pivotButton="0" quotePrefix="0" xfId="0">
      <alignment vertical="bottom" wrapText="1"/>
    </xf>
    <xf numFmtId="0" fontId="11" fillId="0" borderId="0" applyAlignment="1" pivotButton="0" quotePrefix="0" xfId="0">
      <alignment vertical="center" wrapText="1"/>
    </xf>
    <xf numFmtId="164" fontId="1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25" fillId="0" borderId="0" pivotButton="0" quotePrefix="0" xfId="0"/>
    <xf numFmtId="0" fontId="16" fillId="0" borderId="0" applyAlignment="1" pivotButton="0" quotePrefix="0" xfId="0">
      <alignment horizontal="left" vertical="bottom" wrapText="1"/>
    </xf>
    <xf numFmtId="0" fontId="26" fillId="0" borderId="0" applyAlignment="1" pivotButton="0" quotePrefix="0" xfId="0">
      <alignment vertical="bottom" wrapText="1"/>
    </xf>
    <xf numFmtId="0" fontId="27" fillId="0" borderId="0" pivotButton="0" quotePrefix="0" xfId="0"/>
    <xf numFmtId="0" fontId="26" fillId="0" borderId="0" applyAlignment="1" pivotButton="0" quotePrefix="0" xfId="0">
      <alignment vertical="bottom"/>
    </xf>
    <xf numFmtId="0" fontId="28" fillId="0" borderId="0" applyAlignment="1" pivotButton="0" quotePrefix="0" xfId="0">
      <alignment vertical="bottom" wrapText="1"/>
    </xf>
    <xf numFmtId="164" fontId="15" fillId="0" borderId="0" applyAlignment="1" pivotButton="0" quotePrefix="0" xfId="0">
      <alignment vertical="bottom" wrapText="1"/>
    </xf>
    <xf numFmtId="0" fontId="28" fillId="0" borderId="0" applyAlignment="1" pivotButton="0" quotePrefix="0" xfId="0">
      <alignment vertical="bottom"/>
    </xf>
    <xf numFmtId="164" fontId="15" fillId="10" borderId="0" applyAlignment="1" pivotButton="0" quotePrefix="0" xfId="0">
      <alignment vertical="bottom" wrapText="1"/>
    </xf>
    <xf numFmtId="0" fontId="29" fillId="3" borderId="0" applyAlignment="1" pivotButton="0" quotePrefix="0" xfId="0">
      <alignment horizontal="right" vertical="bottom" wrapText="1"/>
    </xf>
    <xf numFmtId="164" fontId="29" fillId="3" borderId="0" applyAlignment="1" pivotButton="0" quotePrefix="0" xfId="0">
      <alignment horizontal="right" vertical="bottom" wrapText="1"/>
    </xf>
    <xf numFmtId="0" fontId="16" fillId="5" borderId="0" applyAlignment="1" pivotButton="0" quotePrefix="0" xfId="0">
      <alignment horizontal="right" vertical="bottom" wrapText="1"/>
    </xf>
    <xf numFmtId="164" fontId="16" fillId="5" borderId="0" applyAlignment="1" pivotButton="0" quotePrefix="0" xfId="0">
      <alignment horizontal="right" vertical="bottom" wrapText="1"/>
    </xf>
    <xf numFmtId="0" fontId="16" fillId="6" borderId="0" applyAlignment="1" pivotButton="0" quotePrefix="0" xfId="0">
      <alignment horizontal="right" vertical="bottom" wrapText="1"/>
    </xf>
    <xf numFmtId="164" fontId="16" fillId="6" borderId="0" applyAlignment="1" pivotButton="0" quotePrefix="0" xfId="0">
      <alignment horizontal="right" vertical="bottom" wrapText="1"/>
    </xf>
    <xf numFmtId="0" fontId="30" fillId="3" borderId="0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2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TEMPLATE — copy this sheet for a new event</t>
        </is>
      </c>
    </row>
    <row r="3">
      <c r="A3" s="2" t="inlineStr">
        <is>
          <t>Vendor 1 Name</t>
        </is>
      </c>
      <c r="E3" s="2" t="inlineStr">
        <is>
          <t>Vendor 2 Name</t>
        </is>
      </c>
      <c r="I3" s="2" t="inlineStr">
        <is>
          <t>Vendor 3 Name</t>
        </is>
      </c>
    </row>
    <row r="4">
      <c r="A4" s="3" t="inlineStr">
        <is>
          <t>Item</t>
        </is>
      </c>
      <c r="B4" s="3" t="inlineStr">
        <is>
          <t>Cost price</t>
        </is>
      </c>
      <c r="C4" s="3" t="inlineStr">
        <is>
          <t>Amount</t>
        </is>
      </c>
      <c r="D4" s="3" t="inlineStr">
        <is>
          <t>Sum</t>
        </is>
      </c>
      <c r="E4" s="3" t="inlineStr">
        <is>
          <t>Item</t>
        </is>
      </c>
      <c r="F4" s="3" t="inlineStr">
        <is>
          <t>Cost price</t>
        </is>
      </c>
      <c r="G4" s="3" t="inlineStr">
        <is>
          <t>Amount</t>
        </is>
      </c>
      <c r="H4" s="3" t="inlineStr">
        <is>
          <t>Sum</t>
        </is>
      </c>
      <c r="I4" s="3" t="inlineStr">
        <is>
          <t>Item</t>
        </is>
      </c>
      <c r="J4" s="3" t="inlineStr">
        <is>
          <t>Cost price</t>
        </is>
      </c>
      <c r="K4" s="3" t="inlineStr">
        <is>
          <t>Amount</t>
        </is>
      </c>
      <c r="L4" s="3" t="inlineStr">
        <is>
          <t>Sum</t>
        </is>
      </c>
    </row>
    <row r="5">
      <c r="D5">
        <f>B5*C5</f>
        <v/>
      </c>
      <c r="H5">
        <f>F5*G5</f>
        <v/>
      </c>
      <c r="L5">
        <f>J5*K5</f>
        <v/>
      </c>
    </row>
    <row r="6">
      <c r="D6">
        <f>B6*C6</f>
        <v/>
      </c>
      <c r="H6">
        <f>F6*G6</f>
        <v/>
      </c>
      <c r="L6">
        <f>J6*K6</f>
        <v/>
      </c>
    </row>
    <row r="7">
      <c r="D7">
        <f>B7*C7</f>
        <v/>
      </c>
      <c r="H7">
        <f>F7*G7</f>
        <v/>
      </c>
      <c r="L7">
        <f>J7*K7</f>
        <v/>
      </c>
    </row>
    <row r="8">
      <c r="D8">
        <f>B8*C8</f>
        <v/>
      </c>
      <c r="H8">
        <f>F8*G8</f>
        <v/>
      </c>
      <c r="L8">
        <f>J8*K8</f>
        <v/>
      </c>
    </row>
    <row r="9">
      <c r="D9">
        <f>B9*C9</f>
        <v/>
      </c>
      <c r="H9">
        <f>F9*G9</f>
        <v/>
      </c>
      <c r="L9">
        <f>J9*K9</f>
        <v/>
      </c>
    </row>
    <row r="10">
      <c r="D10">
        <f>B10*C10</f>
        <v/>
      </c>
      <c r="H10">
        <f>F10*G10</f>
        <v/>
      </c>
      <c r="L10">
        <f>J10*K10</f>
        <v/>
      </c>
    </row>
    <row r="11">
      <c r="D11">
        <f>B11*C11</f>
        <v/>
      </c>
      <c r="H11">
        <f>F11*G11</f>
        <v/>
      </c>
      <c r="L11">
        <f>J11*K11</f>
        <v/>
      </c>
    </row>
    <row r="12">
      <c r="D12">
        <f>B12*C12</f>
        <v/>
      </c>
      <c r="H12">
        <f>F12*G12</f>
        <v/>
      </c>
      <c r="L12">
        <f>J12*K12</f>
        <v/>
      </c>
    </row>
    <row r="13">
      <c r="D13">
        <f>B13*C13</f>
        <v/>
      </c>
      <c r="H13">
        <f>F13*G13</f>
        <v/>
      </c>
      <c r="L13">
        <f>J13*K13</f>
        <v/>
      </c>
    </row>
    <row r="14">
      <c r="D14">
        <f>B14*C14</f>
        <v/>
      </c>
      <c r="H14">
        <f>F14*G14</f>
        <v/>
      </c>
      <c r="L14">
        <f>J14*K14</f>
        <v/>
      </c>
    </row>
    <row r="16">
      <c r="A16" s="2" t="inlineStr">
        <is>
          <t>Subtotal Food</t>
        </is>
      </c>
      <c r="D16">
        <f>SUM(D5:D14)</f>
        <v/>
      </c>
      <c r="E16" s="2" t="inlineStr">
        <is>
          <t>Subtotal Food</t>
        </is>
      </c>
      <c r="H16">
        <f>SUM(H5:H14)</f>
        <v/>
      </c>
      <c r="I16" s="2" t="inlineStr">
        <is>
          <t>Subtotal Food</t>
        </is>
      </c>
      <c r="L16">
        <f>SUM(L5:L14)</f>
        <v/>
      </c>
    </row>
    <row r="17">
      <c r="A17" s="2" t="inlineStr">
        <is>
          <t>Delivery Fee</t>
        </is>
      </c>
      <c r="E17" s="2" t="inlineStr">
        <is>
          <t>Delivery Fee</t>
        </is>
      </c>
      <c r="I17" s="2" t="inlineStr">
        <is>
          <t>Delivery Fee</t>
        </is>
      </c>
    </row>
    <row r="18">
      <c r="A18" s="2" t="inlineStr">
        <is>
          <t>Platform Fee</t>
        </is>
      </c>
      <c r="E18" s="2" t="inlineStr">
        <is>
          <t>Platform Fee</t>
        </is>
      </c>
      <c r="I18" s="2" t="inlineStr">
        <is>
          <t>Platform Fee</t>
        </is>
      </c>
    </row>
    <row r="20">
      <c r="A20" s="2" t="inlineStr">
        <is>
          <t>Pretax Subtotal</t>
        </is>
      </c>
      <c r="D20">
        <f>SUM(D16:D19)</f>
        <v/>
      </c>
      <c r="E20" s="2" t="inlineStr">
        <is>
          <t>Pretax Subtotal</t>
        </is>
      </c>
      <c r="H20">
        <f>SUM(H16:H19)</f>
        <v/>
      </c>
      <c r="I20" s="2" t="inlineStr">
        <is>
          <t>Pretax Subtotal</t>
        </is>
      </c>
      <c r="L20">
        <f>SUM(L16:L19)</f>
        <v/>
      </c>
    </row>
    <row r="21">
      <c r="A21" s="2" t="inlineStr">
        <is>
          <t>Taxes (13%)</t>
        </is>
      </c>
      <c r="D21">
        <f>D20*0.13</f>
        <v/>
      </c>
      <c r="E21" s="2" t="inlineStr">
        <is>
          <t>Taxes (13%)</t>
        </is>
      </c>
      <c r="H21">
        <f>H20*0.13</f>
        <v/>
      </c>
      <c r="I21" s="2" t="inlineStr">
        <is>
          <t>Taxes (13%)</t>
        </is>
      </c>
      <c r="L21">
        <f>L20*0.13</f>
        <v/>
      </c>
    </row>
    <row r="22">
      <c r="A22" s="2" t="inlineStr">
        <is>
          <t>Tip (15%)</t>
        </is>
      </c>
      <c r="D22">
        <f>D20*0.15</f>
        <v/>
      </c>
      <c r="E22" s="2" t="inlineStr">
        <is>
          <t>Tip (15%)</t>
        </is>
      </c>
      <c r="H22">
        <f>H20*0.15</f>
        <v/>
      </c>
      <c r="I22" s="2" t="inlineStr">
        <is>
          <t>Tip (15%)</t>
        </is>
      </c>
      <c r="L22">
        <f>L20*0.15</f>
        <v/>
      </c>
    </row>
    <row r="23">
      <c r="A23" s="2" t="inlineStr">
        <is>
          <t>TOTAL</t>
        </is>
      </c>
      <c r="D23">
        <f>SUM(D20:D22)</f>
        <v/>
      </c>
      <c r="E23" s="2" t="inlineStr">
        <is>
          <t>TOTAL</t>
        </is>
      </c>
      <c r="H23">
        <f>SUM(H20:H22)</f>
        <v/>
      </c>
      <c r="I23" s="2" t="inlineStr">
        <is>
          <t>TOTAL</t>
        </is>
      </c>
      <c r="L23">
        <f>SUM(L20:L22)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9.63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ML Trivia Night (Dec 19 2025)</t>
        </is>
      </c>
    </row>
    <row r="3">
      <c r="A3" s="4" t="inlineStr">
        <is>
          <t>— MEALS —</t>
        </is>
      </c>
    </row>
    <row r="5">
      <c r="A5" s="5" t="inlineStr">
        <is>
          <t>Pumpernickel’s Sandwiches</t>
        </is>
      </c>
      <c r="E5" s="5" t="inlineStr">
        <is>
          <t>Canteen via Uber</t>
        </is>
      </c>
      <c r="I5" s="5" t="inlineStr">
        <is>
          <t>Mr Yes</t>
        </is>
      </c>
    </row>
    <row r="6">
      <c r="A6" s="6" t="inlineStr">
        <is>
          <t>Item</t>
        </is>
      </c>
      <c r="B6" s="6" t="inlineStr">
        <is>
          <t>Cost price</t>
        </is>
      </c>
      <c r="C6" s="6" t="inlineStr">
        <is>
          <t>Amount</t>
        </is>
      </c>
      <c r="D6" s="6" t="inlineStr">
        <is>
          <t>Sum</t>
        </is>
      </c>
      <c r="E6" s="6" t="inlineStr">
        <is>
          <t>Item</t>
        </is>
      </c>
      <c r="F6" s="6" t="inlineStr">
        <is>
          <t>Cost price</t>
        </is>
      </c>
      <c r="G6" s="6" t="inlineStr">
        <is>
          <t>Amount</t>
        </is>
      </c>
      <c r="H6" s="6" t="inlineStr">
        <is>
          <t>Sum</t>
        </is>
      </c>
      <c r="I6" s="6" t="inlineStr">
        <is>
          <t>Item</t>
        </is>
      </c>
      <c r="J6" s="6" t="inlineStr">
        <is>
          <t>Cost price</t>
        </is>
      </c>
      <c r="K6" s="6" t="inlineStr">
        <is>
          <t>Amount</t>
        </is>
      </c>
      <c r="L6" s="6" t="inlineStr">
        <is>
          <t>Sum</t>
        </is>
      </c>
    </row>
    <row r="7">
      <c r="A7" s="7" t="inlineStr">
        <is>
          <t>Assorted Sandwich Meal</t>
        </is>
      </c>
      <c r="B7" s="8" t="n">
        <v>206.9</v>
      </c>
      <c r="C7" s="7" t="n">
        <v>2</v>
      </c>
      <c r="D7" s="9">
        <f>C7*B7</f>
        <v/>
      </c>
      <c r="E7" s="10" t="inlineStr">
        <is>
          <t>Hainanese Chicken on Rice</t>
        </is>
      </c>
      <c r="F7" s="8" t="n">
        <v>17</v>
      </c>
      <c r="G7" s="7" t="n">
        <v>4</v>
      </c>
      <c r="H7" s="9">
        <f>G7*F7</f>
        <v/>
      </c>
      <c r="I7" s="11" t="inlineStr">
        <is>
          <t>EGG Fried Rice VEGETARIAN 鸡蛋炒饭</t>
        </is>
      </c>
      <c r="J7" s="12" t="n">
        <v>15.99</v>
      </c>
      <c r="K7" s="13" t="n">
        <v>5</v>
      </c>
      <c r="L7" s="12">
        <f>K7*J7</f>
        <v/>
      </c>
    </row>
    <row r="8">
      <c r="A8" s="7" t="inlineStr">
        <is>
          <t>Utensils</t>
        </is>
      </c>
      <c r="B8" s="8" t="n">
        <v>28.1</v>
      </c>
      <c r="C8" s="7" t="n">
        <v>3</v>
      </c>
      <c r="D8" s="9">
        <f>C8*B8</f>
        <v/>
      </c>
      <c r="E8" s="10" t="inlineStr">
        <is>
          <t>Nasi Lemak</t>
        </is>
      </c>
      <c r="F8" s="8" t="n">
        <v>17</v>
      </c>
      <c r="G8" s="7" t="n">
        <v>4</v>
      </c>
      <c r="H8" s="9">
        <f>G8*F8</f>
        <v/>
      </c>
      <c r="I8" s="14" t="inlineStr">
        <is>
          <t>Stir-fried Flat Rice Noodles with Beef 干炒牛河</t>
        </is>
      </c>
      <c r="J8" s="15" t="n">
        <v>18.99</v>
      </c>
      <c r="K8" s="16" t="n">
        <v>5</v>
      </c>
      <c r="L8" s="12">
        <f>K8*J8</f>
        <v/>
      </c>
    </row>
    <row r="9">
      <c r="E9" s="17" t="inlineStr">
        <is>
          <t>Baked Spaghetti with Minced Beef &amp; Cheese</t>
        </is>
      </c>
      <c r="F9" s="8" t="n">
        <v>15</v>
      </c>
      <c r="G9" s="7" t="n">
        <v>4</v>
      </c>
      <c r="H9" s="9">
        <f>G9*F9</f>
        <v/>
      </c>
      <c r="I9" s="18" t="inlineStr">
        <is>
          <t>Crispy Sweet &amp; Sour Pork</t>
        </is>
      </c>
      <c r="J9" s="12" t="n">
        <v>22.99</v>
      </c>
      <c r="K9" s="13" t="n">
        <v>3</v>
      </c>
      <c r="L9" s="12">
        <f>K9*J9</f>
        <v/>
      </c>
    </row>
    <row r="10">
      <c r="E10" s="10" t="inlineStr">
        <is>
          <t>Malaysian Stur Fried Hokkien Noodles</t>
        </is>
      </c>
      <c r="F10" s="8" t="n">
        <v>17</v>
      </c>
      <c r="G10" s="7" t="n">
        <v>4</v>
      </c>
      <c r="H10" s="9">
        <f>G10*F10</f>
        <v/>
      </c>
      <c r="I10" s="19" t="inlineStr">
        <is>
          <t>Tomato &amp; Egg Stir Fry</t>
        </is>
      </c>
      <c r="J10" s="12" t="n">
        <v>14.99</v>
      </c>
      <c r="K10" s="13" t="n">
        <v>2</v>
      </c>
      <c r="L10" s="12">
        <f>K10*J10</f>
        <v/>
      </c>
    </row>
    <row r="11">
      <c r="E11" s="10" t="inlineStr">
        <is>
          <t>Baked Fish with Spinach &amp; Bacon in Cream Sauce &amp; Cheese on Rice</t>
        </is>
      </c>
      <c r="F11" s="8" t="n">
        <v>17</v>
      </c>
      <c r="G11" s="7" t="n">
        <v>4</v>
      </c>
      <c r="H11" s="9">
        <f>G11*F11</f>
        <v/>
      </c>
      <c r="I11" s="20" t="inlineStr">
        <is>
          <t>Braised Shiitake Mushrooms</t>
        </is>
      </c>
      <c r="J11" s="15" t="n">
        <v>19.99</v>
      </c>
      <c r="K11" s="16" t="n">
        <v>5</v>
      </c>
      <c r="L11" s="12">
        <f>K11*J11</f>
        <v/>
      </c>
    </row>
    <row r="12">
      <c r="E12" s="10" t="inlineStr">
        <is>
          <t>Baked Spaghetti with Ham, Chicken &amp; Cheese in Tomato Sauce</t>
        </is>
      </c>
      <c r="F12" s="8" t="n">
        <v>15</v>
      </c>
      <c r="G12" s="7" t="n">
        <v>4</v>
      </c>
      <c r="H12" s="9">
        <f>G12*F12</f>
        <v/>
      </c>
      <c r="I12" s="21" t="inlineStr">
        <is>
          <t>Home style tofu 家常豆腐 VEGE PLEASE</t>
        </is>
      </c>
      <c r="J12" s="12" t="n">
        <v>14.99</v>
      </c>
      <c r="K12" s="13" t="n">
        <v>2</v>
      </c>
      <c r="L12" s="12">
        <f>K12*J12</f>
        <v/>
      </c>
    </row>
    <row r="13">
      <c r="E13" s="10" t="inlineStr">
        <is>
          <t>Honey Garlic Wings with Fries (8pc)</t>
        </is>
      </c>
      <c r="F13" s="8" t="n">
        <v>14</v>
      </c>
      <c r="G13" s="7" t="n">
        <v>4</v>
      </c>
      <c r="H13" s="9">
        <f>G13*F13</f>
        <v/>
      </c>
      <c r="I13" s="22" t="inlineStr">
        <is>
          <t>General Tso's Chicken</t>
        </is>
      </c>
      <c r="J13" s="23" t="n">
        <v>18.99</v>
      </c>
      <c r="K13" s="22" t="n">
        <v>5</v>
      </c>
      <c r="L13" s="12">
        <f>K13*J13</f>
        <v/>
      </c>
    </row>
    <row r="14">
      <c r="E14" s="10" t="inlineStr">
        <is>
          <t>Onion Rings</t>
        </is>
      </c>
      <c r="F14" s="8" t="n">
        <v>7.5</v>
      </c>
      <c r="G14" s="7" t="n">
        <v>4</v>
      </c>
      <c r="H14" s="9">
        <f>G14*F14</f>
        <v/>
      </c>
      <c r="I14" s="20" t="inlineStr">
        <is>
          <t>Cumin Lamb Ribs</t>
        </is>
      </c>
      <c r="J14" s="15" t="n">
        <v>23.99</v>
      </c>
      <c r="K14" s="16" t="n">
        <v>4</v>
      </c>
      <c r="L14" s="12">
        <f>K14*J14</f>
        <v/>
      </c>
    </row>
    <row r="15">
      <c r="E15" s="10" t="inlineStr">
        <is>
          <t>Beverage</t>
        </is>
      </c>
      <c r="F15" s="8" t="n">
        <v>2.5</v>
      </c>
      <c r="G15" s="7" t="n">
        <v>30</v>
      </c>
      <c r="H15" s="9">
        <f>G15*F15</f>
        <v/>
      </c>
      <c r="I15" s="20" t="inlineStr">
        <is>
          <t>SpringRolls</t>
        </is>
      </c>
      <c r="J15" s="15" t="n">
        <v>8.880000000000001</v>
      </c>
      <c r="K15" s="16" t="n">
        <v>8</v>
      </c>
      <c r="L15" s="12">
        <f>J15*K15</f>
        <v/>
      </c>
    </row>
    <row r="16">
      <c r="H16" s="9">
        <f>G16*F16</f>
        <v/>
      </c>
    </row>
    <row r="17">
      <c r="A17" s="10" t="inlineStr">
        <is>
          <t>Subtotal Food</t>
        </is>
      </c>
      <c r="D17" s="24">
        <f>SUM(D7:D15)</f>
        <v/>
      </c>
      <c r="E17" s="10" t="inlineStr">
        <is>
          <t>Subtotal Food</t>
        </is>
      </c>
      <c r="H17" s="24">
        <f>SUM(H7:H16)</f>
        <v/>
      </c>
      <c r="I17" s="25" t="inlineStr">
        <is>
          <t>Pretax Subtotal</t>
        </is>
      </c>
      <c r="L17" s="26">
        <f>SUM(L7:L15)</f>
        <v/>
      </c>
    </row>
    <row r="18">
      <c r="A18" s="27" t="inlineStr">
        <is>
          <t>Delivery Fee</t>
        </is>
      </c>
      <c r="C18" s="7" t="n">
        <v>1</v>
      </c>
      <c r="D18" s="9" t="n">
        <v>20</v>
      </c>
      <c r="E18" s="27" t="inlineStr">
        <is>
          <t>Delivery Fee</t>
        </is>
      </c>
      <c r="H18" s="9" t="n">
        <v>6.49</v>
      </c>
      <c r="I18" s="28" t="inlineStr">
        <is>
          <t>Taxes (13%)</t>
        </is>
      </c>
      <c r="J18" s="7" t="n">
        <v>0.13</v>
      </c>
      <c r="L18" s="9">
        <f>J18*L17</f>
        <v/>
      </c>
    </row>
    <row r="19">
      <c r="E19" s="28" t="inlineStr">
        <is>
          <t>Platform Fee</t>
        </is>
      </c>
      <c r="H19" s="9" t="n">
        <v>6.5</v>
      </c>
      <c r="I19" s="25" t="inlineStr">
        <is>
          <t>Posttax Subtotal</t>
        </is>
      </c>
      <c r="L19" s="26">
        <f>SUM(L17:L18)</f>
        <v/>
      </c>
    </row>
    <row r="20">
      <c r="A20" s="10" t="inlineStr">
        <is>
          <t>Pretax Subtotal</t>
        </is>
      </c>
      <c r="D20" s="24">
        <f>SUM(D17:D19)</f>
        <v/>
      </c>
      <c r="E20" s="10" t="inlineStr">
        <is>
          <t>Pretax Subtotal</t>
        </is>
      </c>
      <c r="H20" s="24">
        <f>SUM(H17:H19)</f>
        <v/>
      </c>
      <c r="I20" s="28" t="inlineStr">
        <is>
          <t>Discount (20%)</t>
        </is>
      </c>
      <c r="J20" s="29" t="n">
        <v>-0.2</v>
      </c>
      <c r="L20" s="9">
        <f>J20*L19</f>
        <v/>
      </c>
    </row>
    <row r="21">
      <c r="A21" s="28" t="inlineStr">
        <is>
          <t>Taxes (13%)</t>
        </is>
      </c>
      <c r="D21" s="9">
        <f>D20*0.13</f>
        <v/>
      </c>
      <c r="E21" s="28" t="inlineStr">
        <is>
          <t>Taxes (13%)</t>
        </is>
      </c>
      <c r="H21" s="9">
        <f>H20*0.13</f>
        <v/>
      </c>
      <c r="I21" s="30" t="inlineStr">
        <is>
          <t>Postdiscount Subtotal</t>
        </is>
      </c>
      <c r="L21" s="31">
        <f>SUM(L19:L20)</f>
        <v/>
      </c>
    </row>
    <row r="22">
      <c r="A22" s="10" t="inlineStr">
        <is>
          <t>Tip (15%)</t>
        </is>
      </c>
      <c r="D22" s="24">
        <f>D20*0.15</f>
        <v/>
      </c>
      <c r="E22" s="10" t="inlineStr">
        <is>
          <t>Tip (15%)</t>
        </is>
      </c>
      <c r="H22" s="24">
        <f>H20*0.15</f>
        <v/>
      </c>
      <c r="I22" s="7" t="inlineStr">
        <is>
          <t>Tip Delivery Driver</t>
        </is>
      </c>
      <c r="J22" s="32" t="n">
        <v>0.15</v>
      </c>
      <c r="L22" s="8">
        <f>J22*L21</f>
        <v/>
      </c>
    </row>
    <row r="23">
      <c r="A23" s="33" t="inlineStr">
        <is>
          <t>TOTAL (FOOD)</t>
        </is>
      </c>
      <c r="D23" s="34">
        <f>SUM(D20:D22)</f>
        <v/>
      </c>
      <c r="E23" s="33" t="inlineStr">
        <is>
          <t>TOTAL (FOOD)</t>
        </is>
      </c>
      <c r="H23" s="34">
        <f>SUM(H20:H22)</f>
        <v/>
      </c>
      <c r="I23" s="33" t="inlineStr">
        <is>
          <t>TOTAL (FOOD)</t>
        </is>
      </c>
      <c r="L23" s="34">
        <f>SUM(L21:L22)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.25" customWidth="1" min="1" max="1"/>
    <col width="16" customWidth="1" min="2" max="2"/>
    <col width="16" customWidth="1" min="3" max="3"/>
    <col width="16" customWidth="1" min="4" max="4"/>
    <col width="17.75" customWidth="1" min="5" max="5"/>
    <col width="16" customWidth="1" min="6" max="6"/>
    <col width="16" customWidth="1" min="7" max="7"/>
    <col width="16" customWidth="1" min="8" max="8"/>
    <col width="29.63" customWidth="1" min="9" max="9"/>
    <col width="16.5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" t="inlineStr">
        <is>
          <t>Wellness Cafe (Jan 22 2026)</t>
        </is>
      </c>
    </row>
    <row r="3">
      <c r="A3" s="4" t="inlineStr">
        <is>
          <t>— Final Order List —</t>
        </is>
      </c>
    </row>
    <row r="5">
      <c r="A5" s="5" t="inlineStr">
        <is>
          <t>Mr Yes</t>
        </is>
      </c>
      <c r="E5" s="35" t="inlineStr">
        <is>
          <t>Butter Chicken Factory - 560 Parliament St</t>
        </is>
      </c>
      <c r="J5" s="5" t="inlineStr">
        <is>
          <t>Dollarama</t>
        </is>
      </c>
      <c r="O5" s="5" t="inlineStr">
        <is>
          <t>Michaels</t>
        </is>
      </c>
      <c r="T5" s="5" t="inlineStr">
        <is>
          <t>T&amp;T / Metro</t>
        </is>
      </c>
    </row>
    <row r="6">
      <c r="A6" s="6" t="inlineStr">
        <is>
          <t>Item</t>
        </is>
      </c>
      <c r="B6" s="6" t="inlineStr">
        <is>
          <t>Cost price</t>
        </is>
      </c>
      <c r="C6" s="6" t="inlineStr">
        <is>
          <t>Amount</t>
        </is>
      </c>
      <c r="D6" s="6" t="inlineStr">
        <is>
          <t>Sum</t>
        </is>
      </c>
      <c r="E6" s="36" t="inlineStr">
        <is>
          <t>Item</t>
        </is>
      </c>
      <c r="F6" s="36" t="inlineStr">
        <is>
          <t>Cost price</t>
        </is>
      </c>
      <c r="G6" s="36" t="inlineStr">
        <is>
          <t>Amount</t>
        </is>
      </c>
      <c r="H6" s="36" t="inlineStr">
        <is>
          <t>Sum</t>
        </is>
      </c>
      <c r="K6" s="6" t="inlineStr">
        <is>
          <t>Cost price</t>
        </is>
      </c>
      <c r="L6" s="6" t="inlineStr">
        <is>
          <t>Amount</t>
        </is>
      </c>
      <c r="M6" s="6" t="inlineStr">
        <is>
          <t>Sum</t>
        </is>
      </c>
      <c r="P6" s="6" t="inlineStr">
        <is>
          <t>Cost price</t>
        </is>
      </c>
      <c r="Q6" s="6" t="inlineStr">
        <is>
          <t>Amount</t>
        </is>
      </c>
      <c r="R6" s="6" t="inlineStr">
        <is>
          <t>Sum</t>
        </is>
      </c>
      <c r="U6" s="6" t="inlineStr">
        <is>
          <t>Cost price</t>
        </is>
      </c>
      <c r="V6" s="6" t="inlineStr">
        <is>
          <t>Amount</t>
        </is>
      </c>
      <c r="W6" s="6" t="inlineStr">
        <is>
          <t>Sum</t>
        </is>
      </c>
    </row>
    <row r="7">
      <c r="A7" s="11" t="inlineStr">
        <is>
          <t>EGG Fried Rice VEGETARIAN 鸡蛋炒饭</t>
        </is>
      </c>
      <c r="B7" s="12" t="n">
        <v>15.99</v>
      </c>
      <c r="C7" s="13" t="n">
        <v>3</v>
      </c>
      <c r="D7" s="12">
        <f>C7*B7</f>
        <v/>
      </c>
      <c r="E7" s="11" t="inlineStr">
        <is>
          <t>Veg Biryani</t>
        </is>
      </c>
      <c r="F7" s="12" t="n">
        <v>26.4</v>
      </c>
      <c r="G7" s="37" t="n">
        <v>4</v>
      </c>
      <c r="H7" s="38">
        <f>G7*F7</f>
        <v/>
      </c>
      <c r="J7" s="11" t="inlineStr">
        <is>
          <t>Ginger Ale</t>
        </is>
      </c>
      <c r="K7" s="12" t="n">
        <v>1.25</v>
      </c>
      <c r="L7" s="13" t="n">
        <v>1</v>
      </c>
      <c r="M7" s="39">
        <f>L7*K7</f>
        <v/>
      </c>
      <c r="O7" s="11" t="inlineStr">
        <is>
          <t>Letter Board</t>
        </is>
      </c>
      <c r="P7" s="12" t="n">
        <v>8</v>
      </c>
      <c r="Q7" s="13" t="n">
        <v>2</v>
      </c>
      <c r="R7" s="12">
        <f>Q7*P7</f>
        <v/>
      </c>
      <c r="T7" s="22" t="inlineStr">
        <is>
          <t>Green Grapes</t>
        </is>
      </c>
      <c r="U7" s="22" t="n">
        <v>6</v>
      </c>
      <c r="V7" s="22" t="n">
        <v>3</v>
      </c>
      <c r="W7" s="12">
        <f>V7*U7</f>
        <v/>
      </c>
    </row>
    <row r="8">
      <c r="A8" s="14" t="inlineStr">
        <is>
          <t>Stir-fried Flat Rice Noodles with Beef 干炒牛河</t>
        </is>
      </c>
      <c r="B8" s="15" t="n">
        <v>18.99</v>
      </c>
      <c r="C8" s="16" t="n">
        <v>3</v>
      </c>
      <c r="D8" s="12">
        <f>C8*B8</f>
        <v/>
      </c>
      <c r="E8" s="14" t="inlineStr">
        <is>
          <t xml:space="preserve">Garlic Naan </t>
        </is>
      </c>
      <c r="F8" s="15" t="n">
        <v>7.2</v>
      </c>
      <c r="G8" s="37" t="n">
        <v>8</v>
      </c>
      <c r="H8" s="38">
        <f>G8*F8</f>
        <v/>
      </c>
      <c r="J8" s="14" t="inlineStr">
        <is>
          <t>Iced Tea</t>
        </is>
      </c>
      <c r="K8" s="12" t="n">
        <v>1.25</v>
      </c>
      <c r="L8" s="16" t="n">
        <v>1</v>
      </c>
      <c r="M8" s="39">
        <f>L8*K8</f>
        <v/>
      </c>
      <c r="O8" s="40" t="inlineStr">
        <is>
          <t>Stress Balls</t>
        </is>
      </c>
      <c r="P8" s="13" t="n">
        <v>5</v>
      </c>
      <c r="Q8" s="13" t="n">
        <v>0</v>
      </c>
      <c r="R8" s="12">
        <f>Q8*P8</f>
        <v/>
      </c>
      <c r="T8" s="22" t="inlineStr">
        <is>
          <t>Strawberries</t>
        </is>
      </c>
      <c r="U8" s="22" t="n">
        <v>10</v>
      </c>
      <c r="V8" s="22" t="n">
        <v>3</v>
      </c>
      <c r="W8" s="12">
        <f>V8*U8</f>
        <v/>
      </c>
    </row>
    <row r="9">
      <c r="A9" s="18" t="inlineStr">
        <is>
          <t>Crispy Sweet &amp; Sour Pork</t>
        </is>
      </c>
      <c r="B9" s="12" t="n">
        <v>16.99</v>
      </c>
      <c r="C9" s="13" t="n">
        <v>1</v>
      </c>
      <c r="D9" s="12">
        <f>C9*B9</f>
        <v/>
      </c>
      <c r="E9" s="18" t="inlineStr">
        <is>
          <t>Butter Chicken</t>
        </is>
      </c>
      <c r="F9" s="12" t="n">
        <v>26.4</v>
      </c>
      <c r="G9" s="37" t="n">
        <v>4</v>
      </c>
      <c r="H9" s="38">
        <f>G9*F9</f>
        <v/>
      </c>
      <c r="J9" s="18" t="inlineStr">
        <is>
          <t>Pepsi</t>
        </is>
      </c>
      <c r="K9" s="12" t="n">
        <v>1.25</v>
      </c>
      <c r="L9" s="13" t="n">
        <v>2</v>
      </c>
      <c r="M9" s="39">
        <f>L9*K9</f>
        <v/>
      </c>
      <c r="O9" s="40" t="inlineStr">
        <is>
          <t>13 Small Gift Bags</t>
        </is>
      </c>
      <c r="P9" s="13" t="n">
        <v>12</v>
      </c>
      <c r="Q9" s="13" t="n">
        <v>2</v>
      </c>
      <c r="R9" s="12">
        <f>Q9*P9</f>
        <v/>
      </c>
      <c r="T9" s="22" t="inlineStr">
        <is>
          <t>Clementines</t>
        </is>
      </c>
      <c r="U9" s="22" t="n">
        <v>3</v>
      </c>
      <c r="V9" s="22" t="n">
        <v>0</v>
      </c>
      <c r="W9" s="12">
        <f>U9*V9</f>
        <v/>
      </c>
    </row>
    <row r="10">
      <c r="A10" s="19" t="inlineStr">
        <is>
          <t>Tomato &amp; Egg Stir Fry</t>
        </is>
      </c>
      <c r="B10" s="12" t="n">
        <v>14.99</v>
      </c>
      <c r="C10" s="13" t="n">
        <v>1</v>
      </c>
      <c r="D10" s="12">
        <f>C10*B10</f>
        <v/>
      </c>
      <c r="E10" s="19" t="inlineStr">
        <is>
          <t>Paneer Tikka Masala</t>
        </is>
      </c>
      <c r="F10" s="12" t="n">
        <v>24</v>
      </c>
      <c r="G10" s="37" t="n">
        <v>2</v>
      </c>
      <c r="H10" s="38">
        <f>G10*F10</f>
        <v/>
      </c>
      <c r="J10" s="19" t="inlineStr">
        <is>
          <t>Punch Juice</t>
        </is>
      </c>
      <c r="K10" s="12" t="n">
        <v>1.75</v>
      </c>
      <c r="L10" s="13" t="n">
        <v>2</v>
      </c>
      <c r="M10" s="39">
        <f>L10*K10</f>
        <v/>
      </c>
      <c r="O10" s="40" t="inlineStr">
        <is>
          <t>10x Decorated Greeting Cards</t>
        </is>
      </c>
      <c r="P10" s="13" t="n">
        <v>8</v>
      </c>
      <c r="Q10" s="13" t="n">
        <v>3</v>
      </c>
      <c r="R10" s="12">
        <f>Q10*P10</f>
        <v/>
      </c>
      <c r="T10" s="22" t="inlineStr">
        <is>
          <t>Red Grapes</t>
        </is>
      </c>
      <c r="U10" s="22" t="n">
        <v>6</v>
      </c>
      <c r="V10" s="22" t="n">
        <v>2</v>
      </c>
      <c r="W10" s="12">
        <f>U10*V10</f>
        <v/>
      </c>
    </row>
    <row r="11">
      <c r="A11" s="20" t="inlineStr">
        <is>
          <t>Braised Shiitake Mushrooms 皇烧香菇</t>
        </is>
      </c>
      <c r="B11" s="15" t="n">
        <v>19.99</v>
      </c>
      <c r="C11" s="16" t="n">
        <v>3</v>
      </c>
      <c r="D11" s="12">
        <f>C11*B11</f>
        <v/>
      </c>
      <c r="E11" s="20" t="inlineStr">
        <is>
          <t>Palak Paneer</t>
        </is>
      </c>
      <c r="F11" s="15" t="n">
        <v>24</v>
      </c>
      <c r="G11" s="37" t="n">
        <v>3</v>
      </c>
      <c r="H11" s="38">
        <f>G11*F11</f>
        <v/>
      </c>
      <c r="J11" s="20" t="inlineStr">
        <is>
          <t>Apple Juice</t>
        </is>
      </c>
      <c r="K11" s="12" t="n">
        <v>1.75</v>
      </c>
      <c r="L11" s="16" t="n">
        <v>2</v>
      </c>
      <c r="M11" s="39">
        <f>L11*K11</f>
        <v/>
      </c>
      <c r="T11" s="22" t="inlineStr">
        <is>
          <t xml:space="preserve">Pomelo </t>
        </is>
      </c>
      <c r="U11" s="22" t="n">
        <v>5</v>
      </c>
      <c r="V11" s="22" t="n">
        <v>0</v>
      </c>
      <c r="W11" s="12">
        <f>U11*V11</f>
        <v/>
      </c>
    </row>
    <row r="12">
      <c r="A12" s="21" t="inlineStr">
        <is>
          <t>Home style tofu 家常豆腐 VEGE PLEASE</t>
        </is>
      </c>
      <c r="B12" s="12" t="n">
        <v>14.99</v>
      </c>
      <c r="C12" s="13" t="n">
        <v>1</v>
      </c>
      <c r="D12" s="12">
        <f>C12*B12</f>
        <v/>
      </c>
      <c r="J12" s="30" t="inlineStr">
        <is>
          <t>Subtotal Drinks</t>
        </is>
      </c>
      <c r="M12" s="41">
        <f>SUM(M7:M11)</f>
        <v/>
      </c>
      <c r="O12" s="30" t="inlineStr">
        <is>
          <t>Subtotal Michaels</t>
        </is>
      </c>
      <c r="S12" s="30" t="n">
        <v>105.6</v>
      </c>
      <c r="T12" s="22" t="inlineStr">
        <is>
          <t>Blueberries</t>
        </is>
      </c>
      <c r="U12" s="22" t="n">
        <v>10</v>
      </c>
      <c r="V12" s="22" t="n">
        <v>0</v>
      </c>
      <c r="W12" s="12">
        <f>U12*V12</f>
        <v/>
      </c>
    </row>
    <row r="13">
      <c r="A13" s="42" t="inlineStr">
        <is>
          <t>General Tso's Chicken</t>
        </is>
      </c>
      <c r="B13" s="43" t="n">
        <v>18.99</v>
      </c>
      <c r="C13" s="42" t="n">
        <v>2</v>
      </c>
      <c r="D13" s="12">
        <f>C13*B13</f>
        <v/>
      </c>
      <c r="T13" s="22" t="inlineStr">
        <is>
          <t>Cake / Pie</t>
        </is>
      </c>
      <c r="U13" s="22" t="n">
        <v>20</v>
      </c>
      <c r="V13" s="22" t="n">
        <v>2</v>
      </c>
      <c r="W13" s="12">
        <f>U13*V13</f>
        <v/>
      </c>
    </row>
    <row r="14">
      <c r="A14" s="20" t="inlineStr">
        <is>
          <t>Cumin Lamb Ribs</t>
        </is>
      </c>
      <c r="B14" s="15" t="n">
        <v>23.99</v>
      </c>
      <c r="C14" s="16" t="n">
        <v>2</v>
      </c>
      <c r="D14" s="12">
        <f>C14*B14</f>
        <v/>
      </c>
      <c r="J14" s="42" t="inlineStr">
        <is>
          <t>10 Luncheon Plates</t>
        </is>
      </c>
      <c r="K14" s="43" t="n">
        <v>3.75</v>
      </c>
      <c r="L14" s="42" t="n">
        <v>2</v>
      </c>
      <c r="M14" s="39">
        <f>L14*K14</f>
        <v/>
      </c>
      <c r="T14" s="30" t="inlineStr">
        <is>
          <t>Subtotal Fruit</t>
        </is>
      </c>
    </row>
    <row r="15">
      <c r="A15" s="20" t="inlineStr">
        <is>
          <t>SpringRolls</t>
        </is>
      </c>
      <c r="B15" s="15" t="n">
        <v>8.880000000000001</v>
      </c>
      <c r="C15" s="16" t="n">
        <v>4</v>
      </c>
      <c r="D15" s="12">
        <f>B15*C15</f>
        <v/>
      </c>
      <c r="J15" s="20" t="inlineStr">
        <is>
          <t>10 Plastic Cups</t>
        </is>
      </c>
      <c r="K15" s="15" t="n">
        <v>1.5</v>
      </c>
      <c r="L15" s="16" t="n">
        <v>4</v>
      </c>
      <c r="M15" s="39">
        <f>L15*K15</f>
        <v/>
      </c>
      <c r="O15" s="5" t="inlineStr">
        <is>
          <t>Walmart</t>
        </is>
      </c>
    </row>
    <row r="16">
      <c r="E16" s="44" t="inlineStr">
        <is>
          <t>Subtotal Food</t>
        </is>
      </c>
      <c r="H16" s="45">
        <f>SUM(H7:H15)</f>
        <v/>
      </c>
      <c r="J16" s="20" t="inlineStr">
        <is>
          <t>10 Plastic Bowls</t>
        </is>
      </c>
      <c r="K16" s="15" t="n">
        <v>1.5</v>
      </c>
      <c r="L16" s="16" t="n">
        <v>1</v>
      </c>
      <c r="M16" s="39">
        <f>K16*L16</f>
        <v/>
      </c>
      <c r="P16" s="6" t="inlineStr">
        <is>
          <t>Cost price</t>
        </is>
      </c>
      <c r="Q16" s="6" t="inlineStr">
        <is>
          <t>Amount</t>
        </is>
      </c>
      <c r="R16" s="6" t="inlineStr">
        <is>
          <t>Sum</t>
        </is>
      </c>
      <c r="T16" s="5" t="inlineStr">
        <is>
          <t>Kai Wei Supermarket</t>
        </is>
      </c>
    </row>
    <row r="17">
      <c r="A17" s="25" t="inlineStr">
        <is>
          <t>Pretax Subtotal</t>
        </is>
      </c>
      <c r="D17" s="26">
        <f>SUM(D7:D15)</f>
        <v/>
      </c>
      <c r="E17" s="46" t="inlineStr">
        <is>
          <t>Delivery Fee</t>
        </is>
      </c>
      <c r="H17" s="47" t="n">
        <v>1.49</v>
      </c>
      <c r="J17" s="22" t="inlineStr">
        <is>
          <t>Metal Tongs</t>
        </is>
      </c>
      <c r="K17" s="15" t="n">
        <v>2</v>
      </c>
      <c r="L17" s="30" t="n">
        <v>3</v>
      </c>
      <c r="M17" s="39">
        <f>K17*L17</f>
        <v/>
      </c>
      <c r="O17" s="11" t="inlineStr">
        <is>
          <t>Massage Roller Ball</t>
        </is>
      </c>
      <c r="P17" s="12" t="n">
        <v>8</v>
      </c>
      <c r="Q17" s="13" t="n">
        <v>0</v>
      </c>
      <c r="R17" s="12">
        <f>Q17*P17</f>
        <v/>
      </c>
      <c r="U17" s="6" t="inlineStr">
        <is>
          <t>Cost price</t>
        </is>
      </c>
      <c r="V17" s="6" t="inlineStr">
        <is>
          <t>Amount</t>
        </is>
      </c>
      <c r="W17" s="6" t="inlineStr">
        <is>
          <t>Sum</t>
        </is>
      </c>
    </row>
    <row r="18">
      <c r="A18" s="28" t="inlineStr">
        <is>
          <t>Taxes (13%)</t>
        </is>
      </c>
      <c r="B18" s="29" t="n">
        <v>0.13</v>
      </c>
      <c r="D18" s="9">
        <f>B18*D17</f>
        <v/>
      </c>
      <c r="E18" s="46" t="inlineStr">
        <is>
          <t>Service Fee</t>
        </is>
      </c>
      <c r="H18" s="48" t="n">
        <v>38.69</v>
      </c>
      <c r="J18" s="22" t="inlineStr">
        <is>
          <t>Metal Spoons Large</t>
        </is>
      </c>
      <c r="K18" s="15" t="n">
        <v>2</v>
      </c>
      <c r="L18" s="22" t="n">
        <v>3</v>
      </c>
      <c r="M18" s="39">
        <f>K18*L18</f>
        <v/>
      </c>
      <c r="O18" s="40" t="inlineStr">
        <is>
          <t>12 Pc Acupressure Ring</t>
        </is>
      </c>
      <c r="P18" s="13" t="n">
        <v>25</v>
      </c>
      <c r="Q18" s="13" t="n">
        <v>0</v>
      </c>
      <c r="R18" s="12">
        <f>Q18*P18</f>
        <v/>
      </c>
      <c r="T18" s="22" t="inlineStr">
        <is>
          <t>Choco Pie Chocolate</t>
        </is>
      </c>
      <c r="W18" s="12" t="n">
        <v>10</v>
      </c>
    </row>
    <row r="19">
      <c r="A19" s="25" t="inlineStr">
        <is>
          <t>Posttax Subtotal</t>
        </is>
      </c>
      <c r="D19" s="26">
        <f>SUM(D17:D18)</f>
        <v/>
      </c>
      <c r="E19" s="44" t="inlineStr">
        <is>
          <t>Pretax Subtotal</t>
        </is>
      </c>
      <c r="H19" s="45">
        <f>SUM(H16:H18)</f>
        <v/>
      </c>
      <c r="J19" s="22" t="inlineStr">
        <is>
          <t>Rubber Dishwashing Gloves A</t>
        </is>
      </c>
      <c r="K19" s="15" t="n">
        <v>5</v>
      </c>
      <c r="L19" s="22" t="n">
        <v>1</v>
      </c>
      <c r="M19" s="39">
        <f>K19*L19</f>
        <v/>
      </c>
      <c r="O19" s="40" t="inlineStr">
        <is>
          <t>20 Chamomile Tea Bags</t>
        </is>
      </c>
      <c r="P19" s="13" t="n">
        <v>3</v>
      </c>
      <c r="Q19" s="13" t="n">
        <v>0</v>
      </c>
      <c r="R19" s="12">
        <f>Q19*P19</f>
        <v/>
      </c>
      <c r="T19" s="22" t="inlineStr">
        <is>
          <t>Milkis Canned Drinks</t>
        </is>
      </c>
      <c r="W19" s="12" t="n">
        <v>10</v>
      </c>
    </row>
    <row r="20">
      <c r="A20" s="28" t="inlineStr">
        <is>
          <t>Discount (20%)</t>
        </is>
      </c>
      <c r="B20" s="29" t="n">
        <v>-0.2</v>
      </c>
      <c r="D20" s="9">
        <f>B20*D19</f>
        <v/>
      </c>
      <c r="E20" s="49" t="inlineStr">
        <is>
          <t xml:space="preserve">Taxes (13%) </t>
        </is>
      </c>
      <c r="H20" s="47" t="n">
        <v>43.91</v>
      </c>
      <c r="J20" s="22" t="inlineStr">
        <is>
          <t>Forks</t>
        </is>
      </c>
      <c r="L20" s="22" t="inlineStr">
        <is>
          <t>TBC</t>
        </is>
      </c>
      <c r="M20" s="50" t="n">
        <v>5</v>
      </c>
      <c r="T20" s="22" t="inlineStr">
        <is>
          <t>Pocky</t>
        </is>
      </c>
      <c r="W20" s="12" t="n">
        <v>10</v>
      </c>
    </row>
    <row r="21">
      <c r="A21" s="51" t="inlineStr">
        <is>
          <t>Postdiscount Subtotal</t>
        </is>
      </c>
      <c r="D21" s="52">
        <f>SUM(D19:D20)</f>
        <v/>
      </c>
      <c r="E21" s="44" t="inlineStr">
        <is>
          <t>Tip (15%)</t>
        </is>
      </c>
      <c r="H21" s="45" t="n">
        <v>45.8</v>
      </c>
      <c r="J21" s="22" t="inlineStr">
        <is>
          <t>Spoons</t>
        </is>
      </c>
      <c r="L21" s="22" t="inlineStr">
        <is>
          <t>TBC</t>
        </is>
      </c>
      <c r="M21" s="50" t="n">
        <v>5</v>
      </c>
      <c r="O21" s="30" t="inlineStr">
        <is>
          <t>Subtotal Walmart</t>
        </is>
      </c>
      <c r="S21" s="31">
        <f>SUM(R17:R19)</f>
        <v/>
      </c>
      <c r="T21" s="22" t="inlineStr">
        <is>
          <t>Wang Wang</t>
        </is>
      </c>
      <c r="W21" s="12" t="n">
        <v>10</v>
      </c>
    </row>
    <row r="22">
      <c r="A22" s="7" t="inlineStr">
        <is>
          <t>Tip Delivery Driver</t>
        </is>
      </c>
      <c r="B22" s="53" t="n">
        <v>0.15</v>
      </c>
      <c r="D22" s="8">
        <f>B22*D21</f>
        <v/>
      </c>
      <c r="J22" s="30" t="inlineStr">
        <is>
          <t>Subtotal Cutlery</t>
        </is>
      </c>
      <c r="M22" s="41">
        <f>SUM(M14:M21)</f>
        <v/>
      </c>
      <c r="T22" s="22" t="inlineStr">
        <is>
          <t>Jelly</t>
        </is>
      </c>
      <c r="W22" s="12" t="n">
        <v>10</v>
      </c>
    </row>
    <row r="23">
      <c r="O23" s="5" t="inlineStr">
        <is>
          <t>BMV Books</t>
        </is>
      </c>
      <c r="T23" s="22" t="inlineStr">
        <is>
          <t>Yan Yan</t>
        </is>
      </c>
      <c r="W23" s="12" t="n">
        <v>10</v>
      </c>
    </row>
    <row r="24">
      <c r="J24" s="22" t="inlineStr">
        <is>
          <t>Granola Bites</t>
        </is>
      </c>
      <c r="K24" s="12" t="n">
        <v>2.5</v>
      </c>
      <c r="L24" s="22" t="n">
        <v>4</v>
      </c>
      <c r="M24" s="39">
        <f>K24*L24</f>
        <v/>
      </c>
      <c r="P24" s="6" t="inlineStr">
        <is>
          <t>Cost price</t>
        </is>
      </c>
      <c r="Q24" s="6" t="inlineStr">
        <is>
          <t>Amount</t>
        </is>
      </c>
      <c r="R24" s="6" t="inlineStr">
        <is>
          <t>Sum</t>
        </is>
      </c>
      <c r="T24" s="22" t="inlineStr">
        <is>
          <t>Ivins Salted Egg Fish Skin</t>
        </is>
      </c>
      <c r="W24" s="12" t="n">
        <v>10</v>
      </c>
    </row>
    <row r="25">
      <c r="J25" s="21" t="inlineStr">
        <is>
          <t>Kit Kat</t>
        </is>
      </c>
      <c r="K25" s="12" t="n">
        <v>2.5</v>
      </c>
      <c r="L25" s="13" t="n">
        <v>4</v>
      </c>
      <c r="M25" s="39">
        <f>L25*K25</f>
        <v/>
      </c>
      <c r="O25" s="22" t="inlineStr">
        <is>
          <t>25 Bookmarks</t>
        </is>
      </c>
      <c r="R25" s="12" t="n">
        <v>0</v>
      </c>
      <c r="T25" s="22" t="inlineStr">
        <is>
          <t>Pepero</t>
        </is>
      </c>
    </row>
    <row r="26">
      <c r="J26" s="30" t="inlineStr">
        <is>
          <t>Subtotal Snacks</t>
        </is>
      </c>
      <c r="M26" s="41">
        <f>SUM(M24:M25)</f>
        <v/>
      </c>
      <c r="T26" s="22" t="inlineStr">
        <is>
          <t>Hello Panda</t>
        </is>
      </c>
    </row>
    <row r="27">
      <c r="T27" s="22" t="inlineStr">
        <is>
          <t>Mango Pudding</t>
        </is>
      </c>
    </row>
    <row r="28">
      <c r="O28" s="30" t="inlineStr">
        <is>
          <t>Subtotal Walmart</t>
        </is>
      </c>
      <c r="S28" s="31">
        <f>SUM(R24:R26)</f>
        <v/>
      </c>
      <c r="T28" s="22" t="inlineStr">
        <is>
          <t>Jagabee</t>
        </is>
      </c>
    </row>
    <row r="29">
      <c r="J29" s="22" t="inlineStr">
        <is>
          <t>Delivery</t>
        </is>
      </c>
      <c r="M29" s="50" t="n">
        <v>0</v>
      </c>
      <c r="T29" s="22" t="inlineStr">
        <is>
          <t>Hot Chocolate / Milo Powder Packets</t>
        </is>
      </c>
    </row>
    <row r="30">
      <c r="J30" s="54" t="inlineStr">
        <is>
          <t>Subtotal Food</t>
        </is>
      </c>
      <c r="M30" s="55">
        <f>M26+M22+M12</f>
        <v/>
      </c>
      <c r="T30" s="22" t="inlineStr">
        <is>
          <t>RUFFLES CHIPS MORRIS, Parle g david</t>
        </is>
      </c>
    </row>
    <row r="31">
      <c r="J31" s="54" t="inlineStr">
        <is>
          <t>Pretax Subtotal</t>
        </is>
      </c>
      <c r="M31" s="55">
        <f>SUM(M29:M30)</f>
        <v/>
      </c>
      <c r="T31" s="30" t="inlineStr">
        <is>
          <t>Subtotal Snacks</t>
        </is>
      </c>
      <c r="X31" s="56" t="n">
        <v>99.09999999999999</v>
      </c>
    </row>
    <row r="32">
      <c r="J32" s="49" t="inlineStr">
        <is>
          <t>Taxes (13%)</t>
        </is>
      </c>
      <c r="K32" s="44" t="n">
        <v>0.13</v>
      </c>
      <c r="M32" s="57">
        <f>K32*M31</f>
        <v/>
      </c>
    </row>
    <row r="34">
      <c r="A34" s="58" t="inlineStr">
        <is>
          <t>TOTAL (FOOD)</t>
        </is>
      </c>
      <c r="D34" s="59">
        <f>SUM(D21:D22)</f>
        <v/>
      </c>
      <c r="E34" s="60" t="inlineStr">
        <is>
          <t>TOTAL</t>
        </is>
      </c>
      <c r="H34" s="61">
        <f>SUM(H19:H21)</f>
        <v/>
      </c>
      <c r="J34" s="60" t="inlineStr">
        <is>
          <t>TOTAL</t>
        </is>
      </c>
      <c r="M34" s="61" t="n">
        <v>167</v>
      </c>
      <c r="O34" s="62" t="inlineStr">
        <is>
          <t>TOTAL SUPPLIES</t>
        </is>
      </c>
      <c r="S34" s="63">
        <f>SUM(S11:S32)</f>
        <v/>
      </c>
      <c r="T34" s="62" t="inlineStr">
        <is>
          <t>TOTAL SNACKS AND FRUIT</t>
        </is>
      </c>
      <c r="X34" s="63">
        <f>SUM(X5:X33)</f>
        <v/>
      </c>
      <c r="Z34" s="64" t="inlineStr">
        <is>
          <t>ULTIMATE TOTAL</t>
        </is>
      </c>
      <c r="AA34" s="65">
        <f>SUM(A34:Z34)</f>
        <v/>
      </c>
    </row>
    <row r="35">
      <c r="D35" s="30" t="n">
        <v>347</v>
      </c>
    </row>
    <row r="36">
      <c r="J36" s="22" t="inlineStr">
        <is>
          <t>I want 50 plastic cups, 40 plates, 5 bowls for snacks, 40 sets of cutlery</t>
        </is>
      </c>
    </row>
    <row r="37">
      <c r="J37" s="22" t="inlineStr">
        <is>
          <t>I already have 20 plates and a fuck ton of chopsticks and utensils and trays in the office, as well as serviettes</t>
        </is>
      </c>
    </row>
    <row r="39">
      <c r="J39" s="22" t="inlineStr">
        <is>
          <t xml:space="preserve">Plan Tomorrow: </t>
        </is>
      </c>
    </row>
    <row r="40">
      <c r="J40" s="30" t="inlineStr">
        <is>
          <t>0. Scout Bahen, Assess Table Layout &amp; Storage Place</t>
        </is>
      </c>
      <c r="N40" s="66" t="n">
        <v>0.4166666666666667</v>
      </c>
    </row>
    <row r="41">
      <c r="J41" s="30" t="inlineStr">
        <is>
          <t>1. TD Bank Collect Cash, 353 and 600</t>
        </is>
      </c>
      <c r="N41" s="66" t="n">
        <v>0.4375</v>
      </c>
    </row>
    <row r="42">
      <c r="J42" s="30" t="inlineStr">
        <is>
          <t>2. Dollarama Shopping --&gt; Office</t>
        </is>
      </c>
      <c r="N42" s="66" t="n">
        <v>0.4479166666666667</v>
      </c>
    </row>
    <row r="43">
      <c r="J43" s="30" t="inlineStr">
        <is>
          <t>3. Office --&gt; Count Supplies, Move to Bahen</t>
        </is>
      </c>
      <c r="N43" s="66" t="n">
        <v>0.4791666666666667</v>
      </c>
    </row>
    <row r="45">
      <c r="J45" s="22" t="inlineStr">
        <is>
          <t>Lunch Break</t>
        </is>
      </c>
    </row>
    <row r="47">
      <c r="J47" s="30" t="inlineStr">
        <is>
          <t>2. BMV Books + Metro</t>
        </is>
      </c>
      <c r="N47" s="66" t="n">
        <v>0.5208333333333334</v>
      </c>
    </row>
    <row r="48">
      <c r="J48" s="30" t="inlineStr">
        <is>
          <t>1. Michaels + Kai Wei</t>
        </is>
      </c>
      <c r="N48" s="66" t="n">
        <v>0.5625</v>
      </c>
    </row>
    <row r="49">
      <c r="J49" s="30" t="inlineStr">
        <is>
          <t>3. T&amp;T? Walmart?</t>
        </is>
      </c>
      <c r="N49" s="22" t="inlineStr">
        <is>
          <t>no time</t>
        </is>
      </c>
    </row>
    <row r="51">
      <c r="J51" s="22" t="inlineStr">
        <is>
          <t>Bahen for Set Up</t>
        </is>
      </c>
      <c r="N51" s="66" t="n">
        <v>0.5833333333333334</v>
      </c>
    </row>
    <row r="54">
      <c r="A54" s="4" t="inlineStr">
        <is>
          <t>— Dinner (Finger Food Section) —</t>
        </is>
      </c>
    </row>
    <row r="56">
      <c r="A56" s="5" t="inlineStr">
        <is>
          <t>Pumpernickel’s Sandwiches</t>
        </is>
      </c>
      <c r="E56" s="67" t="inlineStr">
        <is>
          <t>Fresca Pizza</t>
        </is>
      </c>
      <c r="I56" s="67" t="inlineStr">
        <is>
          <t>Pantree</t>
        </is>
      </c>
    </row>
    <row r="57">
      <c r="A57" s="6" t="inlineStr">
        <is>
          <t>Item</t>
        </is>
      </c>
      <c r="B57" s="6" t="inlineStr">
        <is>
          <t>Cost price</t>
        </is>
      </c>
      <c r="C57" s="6" t="inlineStr">
        <is>
          <t>Amount</t>
        </is>
      </c>
      <c r="D57" s="6" t="inlineStr">
        <is>
          <t>Sum</t>
        </is>
      </c>
      <c r="E57" s="36" t="inlineStr">
        <is>
          <t>Item</t>
        </is>
      </c>
      <c r="F57" s="36" t="inlineStr">
        <is>
          <t>Cost price</t>
        </is>
      </c>
      <c r="G57" s="36" t="inlineStr">
        <is>
          <t>Amount</t>
        </is>
      </c>
      <c r="H57" s="36" t="inlineStr">
        <is>
          <t>Sum</t>
        </is>
      </c>
      <c r="I57" s="36" t="inlineStr">
        <is>
          <t>Item</t>
        </is>
      </c>
      <c r="J57" s="36" t="inlineStr">
        <is>
          <t>Cost price</t>
        </is>
      </c>
      <c r="K57" s="36" t="inlineStr">
        <is>
          <t>Amount</t>
        </is>
      </c>
      <c r="L57" s="36" t="inlineStr">
        <is>
          <t>Sum</t>
        </is>
      </c>
    </row>
    <row r="58">
      <c r="A58" s="7" t="inlineStr">
        <is>
          <t>Assorted Sandwich Meal</t>
        </is>
      </c>
      <c r="B58" s="8" t="n">
        <v>206.9</v>
      </c>
      <c r="C58" s="7" t="n">
        <v>1</v>
      </c>
      <c r="D58" s="9">
        <f>C58*B58</f>
        <v/>
      </c>
      <c r="E58" s="49" t="inlineStr">
        <is>
          <t>Margherita XL</t>
        </is>
      </c>
      <c r="F58" s="47" t="n">
        <v>23.18</v>
      </c>
      <c r="G58" s="68" t="n">
        <v>6</v>
      </c>
      <c r="H58" s="47">
        <f>G58*F58</f>
        <v/>
      </c>
      <c r="I58" s="49" t="inlineStr">
        <is>
          <t>Fruit Platter Option C</t>
        </is>
      </c>
      <c r="J58" s="47" t="n">
        <v>116.57</v>
      </c>
      <c r="K58" s="68" t="n">
        <v>1</v>
      </c>
      <c r="L58" s="47">
        <f>K58*J58</f>
        <v/>
      </c>
    </row>
    <row r="59">
      <c r="A59" s="7" t="inlineStr">
        <is>
          <t>Utensils</t>
        </is>
      </c>
      <c r="B59" s="8" t="n">
        <v>28.1</v>
      </c>
      <c r="C59" s="7" t="n">
        <v>3</v>
      </c>
      <c r="D59" s="9">
        <f>C59*B59</f>
        <v/>
      </c>
      <c r="I59" s="49" t="inlineStr">
        <is>
          <t>Canada Dry</t>
        </is>
      </c>
      <c r="J59" s="47" t="n">
        <v>22.71</v>
      </c>
      <c r="K59" s="68" t="n">
        <v>1</v>
      </c>
      <c r="L59" s="47">
        <f>K59*J59</f>
        <v/>
      </c>
    </row>
    <row r="60">
      <c r="I60" s="69" t="inlineStr">
        <is>
          <t>Tropicana</t>
        </is>
      </c>
      <c r="J60" s="47" t="n">
        <v>46.82</v>
      </c>
      <c r="K60" s="68" t="n">
        <v>1</v>
      </c>
      <c r="L60" s="47">
        <f>K60*J60</f>
        <v/>
      </c>
    </row>
    <row r="68">
      <c r="A68" s="10" t="inlineStr">
        <is>
          <t>Subtotal Food</t>
        </is>
      </c>
      <c r="D68" s="24">
        <f>SUM(D58:D66)</f>
        <v/>
      </c>
      <c r="E68" s="44" t="inlineStr">
        <is>
          <t>Subtotal Food</t>
        </is>
      </c>
      <c r="H68" s="45">
        <f> Sum(H58:H66)</f>
        <v/>
      </c>
      <c r="I68" s="44" t="inlineStr">
        <is>
          <t>Subtotal Food</t>
        </is>
      </c>
      <c r="J68" s="45">
        <f> Sum(J58:J66)</f>
        <v/>
      </c>
      <c r="L68" s="45">
        <f> Sum(L58:L66)</f>
        <v/>
      </c>
    </row>
    <row r="69">
      <c r="A69" s="27" t="inlineStr">
        <is>
          <t>Delivery Fee</t>
        </is>
      </c>
      <c r="C69" s="7" t="n">
        <v>1</v>
      </c>
      <c r="D69" s="9" t="n">
        <v>20</v>
      </c>
      <c r="E69" s="46" t="inlineStr">
        <is>
          <t>Delivery Fee</t>
        </is>
      </c>
      <c r="G69" s="68" t="n">
        <v>1</v>
      </c>
      <c r="H69" s="47" t="n">
        <v>5</v>
      </c>
      <c r="I69" s="46" t="inlineStr">
        <is>
          <t>Delivery Fee</t>
        </is>
      </c>
      <c r="L69" s="47" t="n">
        <v>15</v>
      </c>
    </row>
    <row r="70">
      <c r="E70" s="49" t="inlineStr">
        <is>
          <t>Service Fee (10%)</t>
        </is>
      </c>
      <c r="H70" s="47">
        <f>0.1*H68</f>
        <v/>
      </c>
      <c r="J70" s="47">
        <f>0.1*J68</f>
        <v/>
      </c>
    </row>
    <row r="71">
      <c r="A71" s="10" t="inlineStr">
        <is>
          <t>Pretax Subtotal</t>
        </is>
      </c>
      <c r="D71" s="24">
        <f>SUM(D68:D70)</f>
        <v/>
      </c>
      <c r="E71" s="44" t="inlineStr">
        <is>
          <t>Pretax Subtotal</t>
        </is>
      </c>
      <c r="H71" s="45">
        <f>SUM(H68:H70)</f>
        <v/>
      </c>
      <c r="I71" s="44" t="inlineStr">
        <is>
          <t>Pretax Subtotal</t>
        </is>
      </c>
      <c r="J71" s="45">
        <f>SUM(J68:J70)</f>
        <v/>
      </c>
      <c r="L71" s="45">
        <f>SUM(L68:L70)</f>
        <v/>
      </c>
    </row>
    <row r="72">
      <c r="A72" s="28" t="inlineStr">
        <is>
          <t>Taxes (13%)</t>
        </is>
      </c>
      <c r="D72" s="9">
        <f>D71*0.13</f>
        <v/>
      </c>
      <c r="E72" s="49" t="inlineStr">
        <is>
          <t>Taxes (13%)</t>
        </is>
      </c>
      <c r="H72" s="47">
        <f>H71*0.13</f>
        <v/>
      </c>
      <c r="I72" s="49" t="inlineStr">
        <is>
          <t>Taxes (13%)</t>
        </is>
      </c>
      <c r="J72" s="47">
        <f>J71*0.13</f>
        <v/>
      </c>
      <c r="L72" s="47">
        <f>L71*0.13</f>
        <v/>
      </c>
    </row>
    <row r="73">
      <c r="A73" s="10" t="inlineStr">
        <is>
          <t>Tip (15%)</t>
        </is>
      </c>
      <c r="D73" s="24">
        <f>D71*0.15</f>
        <v/>
      </c>
      <c r="E73" s="44" t="inlineStr">
        <is>
          <t>Tip (15%)</t>
        </is>
      </c>
      <c r="H73" s="45">
        <f>H71*0.15</f>
        <v/>
      </c>
      <c r="J73" s="45">
        <f>J71*0.15</f>
        <v/>
      </c>
    </row>
    <row r="74">
      <c r="A74" s="33" t="inlineStr">
        <is>
          <t>TOTAL (FOOD)</t>
        </is>
      </c>
      <c r="D74" s="34">
        <f>SUM(D71:D73)</f>
        <v/>
      </c>
      <c r="E74" s="67" t="inlineStr">
        <is>
          <t>TOTAL (FOOD)</t>
        </is>
      </c>
      <c r="H74" s="70">
        <f>SUM(H71:H73)</f>
        <v/>
      </c>
      <c r="I74" s="67" t="inlineStr">
        <is>
          <t>TOTAL (FOOD)</t>
        </is>
      </c>
      <c r="J74" s="70">
        <f>SUM(J71:J73)</f>
        <v/>
      </c>
      <c r="L74" s="70">
        <f>SUM(L71:L73)</f>
        <v/>
      </c>
    </row>
    <row r="77">
      <c r="A77" s="4" t="inlineStr">
        <is>
          <t>— Dinner (Meal Catering Section) —</t>
        </is>
      </c>
    </row>
    <row r="79">
      <c r="A79" s="71" t="inlineStr">
        <is>
          <t>House of Gourmet via Uber</t>
        </is>
      </c>
      <c r="E79" s="5" t="inlineStr">
        <is>
          <t>Canteen via Uber</t>
        </is>
      </c>
      <c r="I79" s="5" t="inlineStr">
        <is>
          <t>Mr Yes</t>
        </is>
      </c>
      <c r="M79" s="35" t="inlineStr">
        <is>
          <t>Butter Chicken Factory - 560 Parliament St</t>
        </is>
      </c>
      <c r="Q79" s="5" t="inlineStr">
        <is>
          <t>Dollarama</t>
        </is>
      </c>
    </row>
    <row r="80">
      <c r="A80" s="6" t="inlineStr">
        <is>
          <t>Item</t>
        </is>
      </c>
      <c r="B80" s="6" t="inlineStr">
        <is>
          <t>Cost price</t>
        </is>
      </c>
      <c r="C80" s="6" t="inlineStr">
        <is>
          <t>Amount</t>
        </is>
      </c>
      <c r="D80" s="6" t="inlineStr">
        <is>
          <t>Sum</t>
        </is>
      </c>
      <c r="E80" s="6" t="inlineStr">
        <is>
          <t>Item</t>
        </is>
      </c>
      <c r="F80" s="6" t="inlineStr">
        <is>
          <t>Cost price</t>
        </is>
      </c>
      <c r="G80" s="6" t="inlineStr">
        <is>
          <t>Amount</t>
        </is>
      </c>
      <c r="H80" s="6" t="inlineStr">
        <is>
          <t>Sum</t>
        </is>
      </c>
      <c r="I80" s="6" t="inlineStr">
        <is>
          <t>Item</t>
        </is>
      </c>
      <c r="J80" s="6" t="inlineStr">
        <is>
          <t>Cost price</t>
        </is>
      </c>
      <c r="K80" s="6" t="inlineStr">
        <is>
          <t>Amount</t>
        </is>
      </c>
      <c r="L80" s="6" t="inlineStr">
        <is>
          <t>Sum</t>
        </is>
      </c>
      <c r="M80" s="36" t="inlineStr">
        <is>
          <t>Item</t>
        </is>
      </c>
      <c r="N80" s="36" t="inlineStr">
        <is>
          <t>Cost price</t>
        </is>
      </c>
      <c r="O80" s="36" t="inlineStr">
        <is>
          <t>Amount</t>
        </is>
      </c>
      <c r="P80" s="36" t="inlineStr">
        <is>
          <t>Sum</t>
        </is>
      </c>
    </row>
    <row r="81">
      <c r="A81" s="49" t="inlineStr">
        <is>
          <t>Fried Noodle with Bean Sprout 芽菜仔炒麵</t>
        </is>
      </c>
      <c r="B81" s="47" t="n">
        <v>16.99</v>
      </c>
      <c r="C81" s="68" t="n">
        <v>2</v>
      </c>
      <c r="D81" s="9">
        <f>C81*B81</f>
        <v/>
      </c>
      <c r="E81" s="10" t="inlineStr">
        <is>
          <t>Hainanese Chicken on Rice</t>
        </is>
      </c>
      <c r="F81" s="8" t="n">
        <v>17</v>
      </c>
      <c r="G81" s="7" t="n">
        <v>2</v>
      </c>
      <c r="H81" s="9">
        <f>G81*F81</f>
        <v/>
      </c>
      <c r="I81" s="11" t="inlineStr">
        <is>
          <t>EGG Fried Rice VEGETARIAN 鸡蛋炒饭</t>
        </is>
      </c>
      <c r="J81" s="12" t="n">
        <v>15.99</v>
      </c>
      <c r="K81" s="13" t="n">
        <v>3</v>
      </c>
      <c r="L81" s="12">
        <f>K81*J81</f>
        <v/>
      </c>
      <c r="M81" s="11" t="inlineStr">
        <is>
          <t>Veg Biryani</t>
        </is>
      </c>
      <c r="N81" s="12" t="n">
        <v>26.4</v>
      </c>
      <c r="O81" s="37" t="n">
        <v>3</v>
      </c>
      <c r="P81" s="38">
        <f>O81*N81</f>
        <v/>
      </c>
    </row>
    <row r="82">
      <c r="A82" s="49" t="inlineStr">
        <is>
          <t>Chicken Fried Rice 雞粒炒飯</t>
        </is>
      </c>
      <c r="B82" s="47" t="n">
        <v>17.5</v>
      </c>
      <c r="C82" s="68" t="n">
        <v>3</v>
      </c>
      <c r="D82" s="9">
        <f>C82*B82</f>
        <v/>
      </c>
      <c r="E82" s="10" t="inlineStr">
        <is>
          <t>Nasi Lemak</t>
        </is>
      </c>
      <c r="F82" s="8" t="n">
        <v>17</v>
      </c>
      <c r="G82" s="7" t="n">
        <v>2</v>
      </c>
      <c r="H82" s="9">
        <f>G82*F82</f>
        <v/>
      </c>
      <c r="I82" s="14" t="inlineStr">
        <is>
          <t>Stir-fried Flat Rice Noodles with Beef 干炒牛河</t>
        </is>
      </c>
      <c r="J82" s="15" t="n">
        <v>18.99</v>
      </c>
      <c r="K82" s="16" t="n">
        <v>3</v>
      </c>
      <c r="L82" s="12">
        <f>K82*J82</f>
        <v/>
      </c>
      <c r="M82" s="14" t="inlineStr">
        <is>
          <t xml:space="preserve">Garlic Naan </t>
        </is>
      </c>
      <c r="N82" s="15" t="n">
        <v>7.2</v>
      </c>
      <c r="O82" s="37" t="n">
        <v>6</v>
      </c>
      <c r="P82" s="38">
        <f>O82*N82</f>
        <v/>
      </c>
    </row>
    <row r="83">
      <c r="A83" s="69" t="inlineStr">
        <is>
          <t>Sliced Beef with Black Bean Sauce 豉椒牛肉</t>
        </is>
      </c>
      <c r="B83" s="47" t="n">
        <v>18.99</v>
      </c>
      <c r="C83" s="68" t="n">
        <v>2</v>
      </c>
      <c r="D83" s="9">
        <f>C83*B83</f>
        <v/>
      </c>
      <c r="E83" s="17" t="inlineStr">
        <is>
          <t>Baked Spaghetti with Minced Beef &amp; Cheese</t>
        </is>
      </c>
      <c r="F83" s="8" t="n">
        <v>15</v>
      </c>
      <c r="G83" s="7" t="n">
        <v>2</v>
      </c>
      <c r="H83" s="9">
        <f>G83*F83</f>
        <v/>
      </c>
      <c r="I83" s="18" t="inlineStr">
        <is>
          <t>Crispy Sweet &amp; Sour Pork</t>
        </is>
      </c>
      <c r="J83" s="12" t="n">
        <v>22.99</v>
      </c>
      <c r="K83" s="13" t="n">
        <v>1</v>
      </c>
      <c r="L83" s="12">
        <f>K83*J83</f>
        <v/>
      </c>
      <c r="M83" s="18" t="inlineStr">
        <is>
          <t>Butter Chicken</t>
        </is>
      </c>
      <c r="N83" s="12" t="n">
        <v>26.4</v>
      </c>
      <c r="O83" s="37" t="n">
        <v>3</v>
      </c>
      <c r="P83" s="38">
        <f>O83*N83</f>
        <v/>
      </c>
    </row>
    <row r="84">
      <c r="A84" s="49" t="inlineStr">
        <is>
          <t>Sweet and Sour Pork with Pineapple 菠蘿咕嚕肉</t>
        </is>
      </c>
      <c r="B84" s="47" t="n">
        <v>18.5</v>
      </c>
      <c r="C84" s="68" t="n">
        <v>3</v>
      </c>
      <c r="D84" s="9">
        <f>C84*B84</f>
        <v/>
      </c>
      <c r="E84" s="10" t="inlineStr">
        <is>
          <t>Malaysian Stur Fried Hokkien Noodles</t>
        </is>
      </c>
      <c r="F84" s="8" t="n">
        <v>17</v>
      </c>
      <c r="G84" s="7" t="n">
        <v>2</v>
      </c>
      <c r="H84" s="9">
        <f>G84*F84</f>
        <v/>
      </c>
      <c r="I84" s="19" t="inlineStr">
        <is>
          <t>Tomato &amp; Egg Stir Fry</t>
        </is>
      </c>
      <c r="J84" s="12" t="n">
        <v>14.99</v>
      </c>
      <c r="K84" s="13" t="n">
        <v>1</v>
      </c>
      <c r="L84" s="12">
        <f>K84*J84</f>
        <v/>
      </c>
      <c r="M84" s="19" t="inlineStr">
        <is>
          <t>Paneer Tikka Masala</t>
        </is>
      </c>
      <c r="N84" s="12" t="n">
        <v>24</v>
      </c>
      <c r="O84" s="37" t="n">
        <v>2</v>
      </c>
      <c r="P84" s="38">
        <f>O84*N84</f>
        <v/>
      </c>
    </row>
    <row r="85">
      <c r="A85" s="49" t="inlineStr">
        <is>
          <t>Deep-Fried Bean Curd with Broccoli and Black Mushroom 紅燒豆腐</t>
        </is>
      </c>
      <c r="B85" s="47" t="n">
        <v>17.99</v>
      </c>
      <c r="C85" s="68" t="n">
        <v>2</v>
      </c>
      <c r="D85" s="9">
        <f>C85*B85</f>
        <v/>
      </c>
      <c r="E85" s="10" t="inlineStr">
        <is>
          <t>Baked Fish with Spinach &amp; Bacon in Cream Sauce &amp; Cheese on Rice</t>
        </is>
      </c>
      <c r="F85" s="8" t="n">
        <v>17</v>
      </c>
      <c r="G85" s="7" t="n">
        <v>2</v>
      </c>
      <c r="H85" s="9">
        <f>G85*F85</f>
        <v/>
      </c>
      <c r="I85" s="20" t="inlineStr">
        <is>
          <t>Braised Shiitake Mushrooms</t>
        </is>
      </c>
      <c r="J85" s="15" t="n">
        <v>19.99</v>
      </c>
      <c r="K85" s="16" t="n">
        <v>3</v>
      </c>
      <c r="L85" s="12">
        <f>K85*J85</f>
        <v/>
      </c>
      <c r="M85" s="20" t="inlineStr">
        <is>
          <t>Palak Paneer</t>
        </is>
      </c>
      <c r="N85" s="15" t="n">
        <v>24</v>
      </c>
      <c r="O85" s="37" t="n">
        <v>2</v>
      </c>
      <c r="P85" s="38">
        <f>O85*N85</f>
        <v/>
      </c>
    </row>
    <row r="86">
      <c r="A86" s="49" t="inlineStr">
        <is>
          <t>Vegetarian Egg Roll 素蛋卷 x1</t>
        </is>
      </c>
      <c r="B86" s="47" t="n">
        <v>3.5</v>
      </c>
      <c r="C86" s="68" t="n">
        <v>15</v>
      </c>
      <c r="D86" s="9">
        <f>C86*B86</f>
        <v/>
      </c>
      <c r="E86" s="10" t="inlineStr">
        <is>
          <t>Baked Spaghetti with Ham, Chicken &amp; Cheese in Tomato Sauce</t>
        </is>
      </c>
      <c r="F86" s="8" t="n">
        <v>15</v>
      </c>
      <c r="G86" s="7" t="n">
        <v>2</v>
      </c>
      <c r="H86" s="9">
        <f>G86*F86</f>
        <v/>
      </c>
      <c r="I86" s="21" t="inlineStr">
        <is>
          <t>Home style tofu 家常豆腐 VEGE PLEASE</t>
        </is>
      </c>
      <c r="J86" s="12" t="n">
        <v>14.99</v>
      </c>
      <c r="K86" s="13" t="n">
        <v>1</v>
      </c>
      <c r="L86" s="12">
        <f>K86*J86</f>
        <v/>
      </c>
    </row>
    <row r="87">
      <c r="A87" s="44" t="inlineStr">
        <is>
          <t>Deep-Fried Breaded Jumbo Shrimp 脆皮炸明蝦</t>
        </is>
      </c>
      <c r="B87" s="47" t="n">
        <v>14.5</v>
      </c>
      <c r="C87" s="68" t="n">
        <v>3</v>
      </c>
      <c r="D87" s="9">
        <f>C87*B87</f>
        <v/>
      </c>
      <c r="E87" s="10" t="inlineStr">
        <is>
          <t>Honey Garlic Wings with Fries (8pc)</t>
        </is>
      </c>
      <c r="F87" s="8" t="n">
        <v>14</v>
      </c>
      <c r="G87" s="7" t="n">
        <v>2</v>
      </c>
      <c r="H87" s="9">
        <f>G87*F87</f>
        <v/>
      </c>
      <c r="I87" s="42" t="inlineStr">
        <is>
          <t>General Tso's Chicken</t>
        </is>
      </c>
      <c r="J87" s="43" t="n">
        <v>18.99</v>
      </c>
      <c r="K87" s="42" t="n">
        <v>2</v>
      </c>
      <c r="L87" s="12">
        <f>K87*J87</f>
        <v/>
      </c>
    </row>
    <row r="88">
      <c r="E88" s="10" t="inlineStr">
        <is>
          <t>Onion Rings</t>
        </is>
      </c>
      <c r="F88" s="8" t="n">
        <v>7.5</v>
      </c>
      <c r="G88" s="7" t="n">
        <v>2</v>
      </c>
      <c r="H88" s="9">
        <f>G88*F88</f>
        <v/>
      </c>
      <c r="I88" s="20" t="inlineStr">
        <is>
          <t>Cumin Lamb Ribs</t>
        </is>
      </c>
      <c r="J88" s="15" t="n">
        <v>23.99</v>
      </c>
      <c r="K88" s="16" t="n">
        <v>2</v>
      </c>
      <c r="L88" s="12">
        <f>K88*J88</f>
        <v/>
      </c>
    </row>
    <row r="89">
      <c r="E89" s="10" t="inlineStr">
        <is>
          <t>Beverage</t>
        </is>
      </c>
      <c r="F89" s="8" t="n">
        <v>2.5</v>
      </c>
      <c r="G89" s="7" t="n">
        <v>15</v>
      </c>
      <c r="H89" s="9">
        <f>G89*F89</f>
        <v/>
      </c>
      <c r="I89" s="20" t="inlineStr">
        <is>
          <t>SpringRolls</t>
        </is>
      </c>
      <c r="J89" s="15" t="n">
        <v>8.880000000000001</v>
      </c>
      <c r="K89" s="16" t="n">
        <v>4</v>
      </c>
      <c r="L89" s="12">
        <f>J89*K89</f>
        <v/>
      </c>
    </row>
    <row r="90">
      <c r="H90" s="9">
        <f>G90*F90</f>
        <v/>
      </c>
      <c r="M90" s="44" t="inlineStr">
        <is>
          <t>Subtotal Food</t>
        </is>
      </c>
      <c r="P90" s="45">
        <f>SUM(P81:P89)</f>
        <v/>
      </c>
    </row>
    <row r="91">
      <c r="A91" s="10" t="inlineStr">
        <is>
          <t>Subtotal Food</t>
        </is>
      </c>
      <c r="D91" s="24">
        <f>SUM(D81:D89)</f>
        <v/>
      </c>
      <c r="E91" s="10" t="inlineStr">
        <is>
          <t>Subtotal Food</t>
        </is>
      </c>
      <c r="H91" s="24">
        <f>SUM(H81:H90)</f>
        <v/>
      </c>
      <c r="I91" s="25" t="inlineStr">
        <is>
          <t>Pretax Subtotal</t>
        </is>
      </c>
      <c r="L91" s="26">
        <f>SUM(L81:L89)</f>
        <v/>
      </c>
      <c r="M91" s="46" t="inlineStr">
        <is>
          <t>Delivery Fee</t>
        </is>
      </c>
      <c r="P91" s="47" t="n">
        <v>1.49</v>
      </c>
    </row>
    <row r="92">
      <c r="A92" s="27" t="inlineStr">
        <is>
          <t>Delivery Fee</t>
        </is>
      </c>
      <c r="C92" s="7" t="n">
        <v>1</v>
      </c>
      <c r="D92" s="9" t="n">
        <v>20</v>
      </c>
      <c r="E92" s="27" t="inlineStr">
        <is>
          <t>Delivery Fee</t>
        </is>
      </c>
      <c r="H92" s="9" t="n">
        <v>6.49</v>
      </c>
      <c r="I92" s="28" t="inlineStr">
        <is>
          <t>Taxes (13%)</t>
        </is>
      </c>
      <c r="J92" s="29" t="n">
        <v>0.13</v>
      </c>
      <c r="L92" s="9">
        <f>J92*L91</f>
        <v/>
      </c>
      <c r="M92" s="46" t="inlineStr">
        <is>
          <t>Service Fee</t>
        </is>
      </c>
      <c r="P92" s="48" t="n">
        <v>38.69</v>
      </c>
    </row>
    <row r="93">
      <c r="E93" s="28" t="inlineStr">
        <is>
          <t>Platform Fee</t>
        </is>
      </c>
      <c r="H93" s="9" t="n">
        <v>6.5</v>
      </c>
      <c r="I93" s="25" t="inlineStr">
        <is>
          <t>Posttax Subtotal</t>
        </is>
      </c>
      <c r="L93" s="26">
        <f>SUM(L91:L92)</f>
        <v/>
      </c>
      <c r="M93" s="44" t="inlineStr">
        <is>
          <t>Pretax Subtotal</t>
        </is>
      </c>
      <c r="P93" s="45">
        <f>SUM(P90:P92)</f>
        <v/>
      </c>
    </row>
    <row r="94">
      <c r="A94" s="10" t="inlineStr">
        <is>
          <t>Pretax Subtotal</t>
        </is>
      </c>
      <c r="D94" s="24">
        <f>SUM(D91:D93)</f>
        <v/>
      </c>
      <c r="E94" s="10" t="inlineStr">
        <is>
          <t>Pretax Subtotal</t>
        </is>
      </c>
      <c r="H94" s="24">
        <f>SUM(H91:H93)</f>
        <v/>
      </c>
      <c r="I94" s="28" t="inlineStr">
        <is>
          <t>Discount (20%)</t>
        </is>
      </c>
      <c r="J94" s="29" t="n">
        <v>-0.2</v>
      </c>
      <c r="L94" s="9">
        <f>J94*L93</f>
        <v/>
      </c>
      <c r="M94" s="49" t="inlineStr">
        <is>
          <t>Taxes (13%) (none if paying with cash//E-Transfer)</t>
        </is>
      </c>
      <c r="P94" s="47" t="n">
        <v>43.91</v>
      </c>
    </row>
    <row r="95">
      <c r="A95" s="28" t="inlineStr">
        <is>
          <t>Taxes (13%)</t>
        </is>
      </c>
      <c r="D95" s="9">
        <f>D94*0.13</f>
        <v/>
      </c>
      <c r="E95" s="28" t="inlineStr">
        <is>
          <t>Taxes (13%)</t>
        </is>
      </c>
      <c r="H95" s="9">
        <f>H94*0.13</f>
        <v/>
      </c>
      <c r="I95" s="51" t="inlineStr">
        <is>
          <t>Postdiscount Subtotal</t>
        </is>
      </c>
      <c r="L95" s="52">
        <f>SUM(L93:L94)</f>
        <v/>
      </c>
      <c r="M95" s="44" t="inlineStr">
        <is>
          <t>Tip (15%)</t>
        </is>
      </c>
      <c r="P95" s="45" t="n">
        <v>45.8</v>
      </c>
    </row>
    <row r="96">
      <c r="A96" s="10" t="inlineStr">
        <is>
          <t>Tip (15%)</t>
        </is>
      </c>
      <c r="D96" s="24">
        <f>D94*0.15</f>
        <v/>
      </c>
      <c r="E96" s="10" t="inlineStr">
        <is>
          <t>Tip (15%)</t>
        </is>
      </c>
      <c r="H96" s="24">
        <f>H94*0.15</f>
        <v/>
      </c>
      <c r="I96" s="7" t="inlineStr">
        <is>
          <t>Tip Delivery Driver</t>
        </is>
      </c>
      <c r="J96" s="53" t="n">
        <v>0.15</v>
      </c>
      <c r="L96" s="8">
        <f>J96*L95</f>
        <v/>
      </c>
    </row>
    <row r="97">
      <c r="A97" s="33" t="inlineStr">
        <is>
          <t>TOTAL (FOOD)</t>
        </is>
      </c>
      <c r="D97" s="34">
        <f>SUM(D94:D96)</f>
        <v/>
      </c>
      <c r="E97" s="33" t="inlineStr">
        <is>
          <t>TOTAL (FOOD)</t>
        </is>
      </c>
      <c r="H97" s="34">
        <f>SUM(H94:H96)</f>
        <v/>
      </c>
      <c r="I97" s="33" t="inlineStr">
        <is>
          <t>TOTAL (FOOD)</t>
        </is>
      </c>
      <c r="L97" s="34">
        <f>SUM(L95:L96)</f>
        <v/>
      </c>
      <c r="M97" s="72" t="inlineStr">
        <is>
          <t>TOTAL</t>
        </is>
      </c>
      <c r="P97" s="73">
        <f>SUM(P93:P95)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9.63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Bouldering &amp; Social Mixer (Feb 6 2026)</t>
        </is>
      </c>
    </row>
    <row r="3">
      <c r="A3" s="4" t="inlineStr">
        <is>
          <t>— Dinner (Meal Out) —</t>
        </is>
      </c>
    </row>
    <row r="5">
      <c r="A5" s="74" t="inlineStr">
        <is>
          <t>Cheng Du Street Food</t>
        </is>
      </c>
      <c r="E5" s="5" t="inlineStr">
        <is>
          <t>Canteen via Uber</t>
        </is>
      </c>
      <c r="I5" s="5" t="inlineStr">
        <is>
          <t>Poulet Rouge</t>
        </is>
      </c>
    </row>
    <row r="6">
      <c r="A6" s="6" t="inlineStr">
        <is>
          <t>Item</t>
        </is>
      </c>
      <c r="B6" s="6" t="inlineStr">
        <is>
          <t>Cost price</t>
        </is>
      </c>
      <c r="C6" s="6" t="inlineStr">
        <is>
          <t>Amount</t>
        </is>
      </c>
      <c r="D6" s="6" t="inlineStr">
        <is>
          <t>Sum</t>
        </is>
      </c>
      <c r="E6" s="6" t="inlineStr">
        <is>
          <t>Item</t>
        </is>
      </c>
      <c r="F6" s="6" t="inlineStr">
        <is>
          <t>Cost price</t>
        </is>
      </c>
      <c r="G6" s="6" t="inlineStr">
        <is>
          <t>Amount</t>
        </is>
      </c>
      <c r="H6" s="6" t="inlineStr">
        <is>
          <t>Sum</t>
        </is>
      </c>
      <c r="I6" s="6" t="inlineStr">
        <is>
          <t>Item</t>
        </is>
      </c>
      <c r="J6" s="6" t="inlineStr">
        <is>
          <t>Cost price</t>
        </is>
      </c>
      <c r="K6" s="6" t="inlineStr">
        <is>
          <t>Amount</t>
        </is>
      </c>
      <c r="L6" s="6" t="inlineStr">
        <is>
          <t>Sum</t>
        </is>
      </c>
    </row>
    <row r="7">
      <c r="A7" s="49" t="inlineStr">
        <is>
          <t>Midtier Meal Cost (average placeholder Shanghai Style Fried Noodles)</t>
        </is>
      </c>
      <c r="B7" s="47" t="n">
        <v>16.99</v>
      </c>
      <c r="C7" s="68" t="n">
        <v>15</v>
      </c>
      <c r="D7" s="9">
        <f>C7*B7</f>
        <v/>
      </c>
      <c r="E7" s="49" t="inlineStr">
        <is>
          <t>Midtier HK Food (average placeholder Baked Pork Chop With Cheese &amp; Gravy Sauce On Rice)</t>
        </is>
      </c>
      <c r="F7" s="8" t="n">
        <v>16</v>
      </c>
      <c r="G7" s="7" t="n">
        <v>8</v>
      </c>
      <c r="H7" s="9">
        <f>G7*F7</f>
        <v/>
      </c>
      <c r="I7" s="10" t="inlineStr">
        <is>
          <t>Rouge Poutine 2 Flavor (placeholder for meal cost)</t>
        </is>
      </c>
      <c r="J7" s="8" t="n">
        <v>17.49</v>
      </c>
      <c r="K7" s="7" t="n">
        <v>15</v>
      </c>
      <c r="L7" s="9">
        <f>K7*J7</f>
        <v/>
      </c>
    </row>
    <row r="8">
      <c r="A8" s="49" t="inlineStr">
        <is>
          <t>Dessert (e.g. Brown Sugar Glutinous Rice)</t>
        </is>
      </c>
      <c r="B8" s="47" t="n">
        <v>5.99</v>
      </c>
      <c r="C8" s="68" t="n">
        <v>15</v>
      </c>
      <c r="D8" s="9">
        <f>C8*B8</f>
        <v/>
      </c>
      <c r="E8" s="22" t="inlineStr">
        <is>
          <t>Midtier Malaysian Food (average placeholder Bak Kut Teh)</t>
        </is>
      </c>
      <c r="F8" s="8" t="n">
        <v>21.5</v>
      </c>
      <c r="G8" s="7" t="n">
        <v>7</v>
      </c>
      <c r="H8" s="9">
        <f>G8*F8</f>
        <v/>
      </c>
      <c r="I8" s="44" t="inlineStr">
        <is>
          <t>Beverage</t>
        </is>
      </c>
      <c r="J8" s="47" t="n">
        <v>2.5</v>
      </c>
      <c r="K8" s="68" t="n">
        <v>15</v>
      </c>
      <c r="L8" s="47">
        <f>K8*J8</f>
        <v/>
      </c>
    </row>
    <row r="9">
      <c r="E9" s="10" t="inlineStr">
        <is>
          <t>Beverage (e.g. HK Style Milk Tea average placeholder)</t>
        </is>
      </c>
      <c r="F9" s="8" t="n">
        <v>4.25</v>
      </c>
      <c r="G9" s="7" t="n">
        <v>15</v>
      </c>
      <c r="H9" s="9">
        <f>G9*F9</f>
        <v/>
      </c>
      <c r="I9" s="17" t="inlineStr">
        <is>
          <t>Dessert (e.g. Chocolate)</t>
        </is>
      </c>
      <c r="J9" s="8" t="n">
        <v>3.99</v>
      </c>
      <c r="K9" s="7" t="n">
        <v>15</v>
      </c>
      <c r="L9" s="47">
        <f>K9*J9</f>
        <v/>
      </c>
    </row>
    <row r="17">
      <c r="A17" s="10" t="inlineStr">
        <is>
          <t>Subtotal Food</t>
        </is>
      </c>
      <c r="D17" s="24">
        <f>SUM(D7:D15)</f>
        <v/>
      </c>
      <c r="E17" s="10" t="inlineStr">
        <is>
          <t>Subtotal Food</t>
        </is>
      </c>
      <c r="H17" s="24">
        <f>SUM(H7:H16)</f>
        <v/>
      </c>
      <c r="I17" s="10" t="inlineStr">
        <is>
          <t>Subtotal Food</t>
        </is>
      </c>
      <c r="L17" s="24">
        <f>SUM(L7:L16)</f>
        <v/>
      </c>
    </row>
    <row r="19">
      <c r="E19" s="28" t="inlineStr">
        <is>
          <t>Platform Fee</t>
        </is>
      </c>
      <c r="H19" s="9" t="n">
        <v>6.5</v>
      </c>
      <c r="I19" s="28" t="inlineStr">
        <is>
          <t>Platform Fee</t>
        </is>
      </c>
      <c r="L19" s="9" t="n">
        <v>6.5</v>
      </c>
    </row>
    <row r="20">
      <c r="A20" s="10" t="inlineStr">
        <is>
          <t>Pretax Subtotal</t>
        </is>
      </c>
      <c r="D20" s="24">
        <f>SUM(D17:D19)</f>
        <v/>
      </c>
      <c r="E20" s="10" t="inlineStr">
        <is>
          <t>Pretax Subtotal</t>
        </is>
      </c>
      <c r="H20" s="24">
        <f>SUM(H17:H19)</f>
        <v/>
      </c>
      <c r="I20" s="10" t="inlineStr">
        <is>
          <t>Pretax Subtotal</t>
        </is>
      </c>
      <c r="L20" s="24">
        <f>SUM(L17:L19)</f>
        <v/>
      </c>
    </row>
    <row r="21">
      <c r="A21" s="28" t="inlineStr">
        <is>
          <t>Taxes (13%)</t>
        </is>
      </c>
      <c r="D21" s="9">
        <f>D20*0.13</f>
        <v/>
      </c>
      <c r="E21" s="28" t="inlineStr">
        <is>
          <t>Taxes (13%)</t>
        </is>
      </c>
      <c r="H21" s="9">
        <f>H20*0.13</f>
        <v/>
      </c>
      <c r="I21" s="28" t="inlineStr">
        <is>
          <t>Taxes (13%)</t>
        </is>
      </c>
      <c r="L21" s="9">
        <f>L20*0.13</f>
        <v/>
      </c>
    </row>
    <row r="22">
      <c r="A22" s="10" t="inlineStr">
        <is>
          <t>Tip (15%)</t>
        </is>
      </c>
      <c r="D22" s="24">
        <f>D20*0.15</f>
        <v/>
      </c>
      <c r="E22" s="10" t="inlineStr">
        <is>
          <t>Tip (15%)</t>
        </is>
      </c>
      <c r="H22" s="24">
        <f>H20*0.15</f>
        <v/>
      </c>
      <c r="I22" s="10" t="inlineStr">
        <is>
          <t>Tip (15%)</t>
        </is>
      </c>
      <c r="L22" s="24">
        <f>L20*0.15</f>
        <v/>
      </c>
    </row>
    <row r="23">
      <c r="A23" s="33" t="inlineStr">
        <is>
          <t>TOTAL (FOOD)</t>
        </is>
      </c>
      <c r="D23" s="75">
        <f>SUM(D20:D22)</f>
        <v/>
      </c>
      <c r="E23" s="33" t="inlineStr">
        <is>
          <t>TOTAL (FOOD)</t>
        </is>
      </c>
      <c r="H23" s="34">
        <f>SUM(H20:H22)</f>
        <v/>
      </c>
      <c r="I23" s="33" t="inlineStr">
        <is>
          <t>TOTAL (FOOD)</t>
        </is>
      </c>
      <c r="L23" s="34">
        <f>SUM(L20:L22)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9.63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Lunar New Year Celebration (Feb 12 2026)</t>
        </is>
      </c>
    </row>
    <row r="3">
      <c r="A3" s="4" t="inlineStr">
        <is>
          <t>— Final Spending —</t>
        </is>
      </c>
    </row>
    <row r="5">
      <c r="A5" s="67" t="inlineStr">
        <is>
          <t>Mr Yes</t>
        </is>
      </c>
      <c r="E5" s="67" t="inlineStr">
        <is>
          <t>Shop Malaysia Canada</t>
        </is>
      </c>
      <c r="I5" s="67" t="inlineStr">
        <is>
          <t>Dollarama / T&amp;T</t>
        </is>
      </c>
      <c r="M5" s="67" t="inlineStr">
        <is>
          <t>Walmart</t>
        </is>
      </c>
    </row>
    <row r="6">
      <c r="A6" s="36" t="inlineStr">
        <is>
          <t>Item</t>
        </is>
      </c>
      <c r="B6" s="36" t="inlineStr">
        <is>
          <t>Cost price</t>
        </is>
      </c>
      <c r="C6" s="36" t="inlineStr">
        <is>
          <t>Amount</t>
        </is>
      </c>
      <c r="D6" s="36" t="inlineStr">
        <is>
          <t>Sum</t>
        </is>
      </c>
      <c r="E6" s="36" t="inlineStr">
        <is>
          <t>Item</t>
        </is>
      </c>
      <c r="F6" s="36" t="inlineStr">
        <is>
          <t>Cost price</t>
        </is>
      </c>
      <c r="G6" s="36" t="inlineStr">
        <is>
          <t>Amount</t>
        </is>
      </c>
      <c r="H6" s="36" t="inlineStr">
        <is>
          <t>Sum</t>
        </is>
      </c>
      <c r="I6" s="36" t="inlineStr">
        <is>
          <t>Item</t>
        </is>
      </c>
      <c r="J6" s="36" t="inlineStr">
        <is>
          <t>Cost price</t>
        </is>
      </c>
      <c r="K6" s="36" t="inlineStr">
        <is>
          <t>Amount</t>
        </is>
      </c>
      <c r="L6" s="36" t="inlineStr">
        <is>
          <t>Sum</t>
        </is>
      </c>
    </row>
    <row r="7">
      <c r="A7" s="11" t="inlineStr">
        <is>
          <t>Egg Fried Rice Veg 蛋炒饭（素）</t>
        </is>
      </c>
      <c r="B7" s="76" t="n">
        <v>15.99</v>
      </c>
      <c r="C7" s="77" t="n">
        <v>15</v>
      </c>
      <c r="D7" s="76">
        <f>C7*B7</f>
        <v/>
      </c>
      <c r="E7" s="44" t="inlineStr">
        <is>
          <t>VEG Yee Sang</t>
        </is>
      </c>
      <c r="F7" s="47" t="n">
        <v>36.88</v>
      </c>
      <c r="G7" s="68" t="n">
        <v>2</v>
      </c>
      <c r="H7" s="9">
        <f>G7*F7</f>
        <v/>
      </c>
      <c r="I7" s="44" t="inlineStr">
        <is>
          <t>Cups</t>
        </is>
      </c>
      <c r="J7" s="47" t="n">
        <v>1.5</v>
      </c>
      <c r="K7" s="68" t="n">
        <v>3</v>
      </c>
      <c r="L7" s="9">
        <f>K7*J7</f>
        <v/>
      </c>
      <c r="M7" s="78" t="inlineStr">
        <is>
          <t>Drinks</t>
        </is>
      </c>
      <c r="N7" s="47" t="n">
        <v>3.97</v>
      </c>
      <c r="O7" s="68" t="n">
        <v>6</v>
      </c>
      <c r="P7" s="9">
        <f>O7*N7</f>
        <v/>
      </c>
    </row>
    <row r="8">
      <c r="A8" s="14" t="inlineStr">
        <is>
          <t>Stir-fried Flat Rice Noodles 干炒牛河</t>
        </is>
      </c>
      <c r="B8" s="79" t="n">
        <v>18.99</v>
      </c>
      <c r="C8" s="80" t="n">
        <v>15</v>
      </c>
      <c r="D8" s="79">
        <f>C8*B8</f>
        <v/>
      </c>
      <c r="E8" s="44" t="inlineStr">
        <is>
          <t>Yee Sang</t>
        </is>
      </c>
      <c r="F8" s="47" t="n">
        <v>38.88</v>
      </c>
      <c r="G8" s="68" t="n">
        <v>2</v>
      </c>
      <c r="H8" s="9">
        <f>G8*F8</f>
        <v/>
      </c>
      <c r="I8" s="44" t="inlineStr">
        <is>
          <t>Plates</t>
        </is>
      </c>
      <c r="J8" s="47" t="n">
        <v>3.75</v>
      </c>
      <c r="K8" s="68" t="n">
        <v>3</v>
      </c>
      <c r="L8" s="9">
        <f>K8*J8</f>
        <v/>
      </c>
    </row>
    <row r="9">
      <c r="A9" s="81" t="inlineStr">
        <is>
          <t>Crispy Pork 锅包肉</t>
        </is>
      </c>
      <c r="B9" s="76" t="n">
        <v>22.99</v>
      </c>
      <c r="C9" s="77" t="n">
        <v>7</v>
      </c>
      <c r="D9" s="76">
        <f>C9*B9</f>
        <v/>
      </c>
      <c r="E9" s="44" t="inlineStr">
        <is>
          <t>Yong Sheng Almond Cookies</t>
        </is>
      </c>
      <c r="F9" s="47" t="n">
        <v>22</v>
      </c>
      <c r="G9" s="68" t="n">
        <v>1</v>
      </c>
      <c r="H9" s="9">
        <f>G9*F9</f>
        <v/>
      </c>
    </row>
    <row r="10">
      <c r="A10" s="82" t="inlineStr">
        <is>
          <t>General Tso's Chicken 左宗鸡</t>
        </is>
      </c>
      <c r="B10" s="83" t="n">
        <v>18.99</v>
      </c>
      <c r="C10" s="80" t="n">
        <v>7</v>
      </c>
      <c r="D10" s="79">
        <f>C10*B10</f>
        <v/>
      </c>
      <c r="E10" s="44" t="inlineStr">
        <is>
          <t>Kuih Kapit Love Letter</t>
        </is>
      </c>
      <c r="F10" s="47" t="n">
        <v>20</v>
      </c>
      <c r="G10" s="68" t="n">
        <v>1</v>
      </c>
      <c r="H10" s="9">
        <f>G10*F10</f>
        <v/>
      </c>
      <c r="I10" s="44" t="inlineStr">
        <is>
          <t>Metal Tong Nylon</t>
        </is>
      </c>
      <c r="J10" s="48" t="n">
        <v>1.75</v>
      </c>
      <c r="K10" s="44" t="n">
        <v>3</v>
      </c>
      <c r="L10" s="9">
        <f>K10*J10</f>
        <v/>
      </c>
    </row>
    <row r="11">
      <c r="A11" s="82" t="inlineStr">
        <is>
          <t>Mapo Tofu VEG 麻婆豆腐（素）</t>
        </is>
      </c>
      <c r="B11" s="83" t="n">
        <v>15.99</v>
      </c>
      <c r="C11" s="80" t="n">
        <v>5</v>
      </c>
      <c r="D11" s="79">
        <f>C11*B11</f>
        <v/>
      </c>
      <c r="E11" s="84" t="inlineStr">
        <is>
          <t>Prawn Cracker</t>
        </is>
      </c>
      <c r="F11" s="47" t="n">
        <v>18</v>
      </c>
      <c r="G11" s="68" t="n">
        <v>1</v>
      </c>
      <c r="H11" s="9">
        <f>G11*F11</f>
        <v/>
      </c>
      <c r="I11" s="44" t="inlineStr">
        <is>
          <t>Proper Knife</t>
        </is>
      </c>
      <c r="J11" s="48" t="n">
        <v>3</v>
      </c>
      <c r="K11" s="44" t="n">
        <v>2</v>
      </c>
      <c r="L11" s="9">
        <f>K11*J11</f>
        <v/>
      </c>
    </row>
    <row r="12">
      <c r="A12" s="82" t="inlineStr">
        <is>
          <t>Yu Xiang Eggplant 茄子</t>
        </is>
      </c>
      <c r="B12" s="83" t="n">
        <v>15.99</v>
      </c>
      <c r="C12" s="85" t="n">
        <v>5</v>
      </c>
      <c r="D12" s="76">
        <f>C12*B12</f>
        <v/>
      </c>
      <c r="E12" s="44" t="inlineStr">
        <is>
          <t>Durian Puff</t>
        </is>
      </c>
      <c r="F12" s="48" t="n">
        <v>3.99</v>
      </c>
      <c r="G12" s="44" t="n">
        <v>5</v>
      </c>
      <c r="H12" s="9">
        <f>G12*F12</f>
        <v/>
      </c>
    </row>
    <row r="13">
      <c r="A13" s="82" t="inlineStr">
        <is>
          <t>CAULIFLOWER 富贵花</t>
        </is>
      </c>
      <c r="B13" s="83" t="n">
        <v>15.99</v>
      </c>
      <c r="C13" s="80" t="n">
        <v>5</v>
      </c>
      <c r="D13" s="76">
        <f>B13*C13</f>
        <v/>
      </c>
      <c r="H13" s="9">
        <f>G13*F13</f>
        <v/>
      </c>
    </row>
    <row r="14">
      <c r="E14" s="44" t="inlineStr">
        <is>
          <t>Prune Kuih Lapis</t>
        </is>
      </c>
      <c r="F14" s="48" t="n">
        <v>20</v>
      </c>
      <c r="G14" s="44" t="n">
        <v>2</v>
      </c>
      <c r="H14" s="9">
        <f>G14*F14</f>
        <v/>
      </c>
    </row>
    <row r="15">
      <c r="E15" s="44" t="inlineStr">
        <is>
          <t>12pc Kickapoo Joy Juice</t>
        </is>
      </c>
      <c r="F15" s="48" t="n">
        <v>23.88</v>
      </c>
      <c r="G15" s="44" t="n">
        <v>3</v>
      </c>
      <c r="H15" s="9">
        <f>G15*F15</f>
        <v/>
      </c>
      <c r="I15" s="44" t="inlineStr">
        <is>
          <t>Garbage Bags</t>
        </is>
      </c>
      <c r="J15" s="48" t="n">
        <v>2.5</v>
      </c>
      <c r="K15" s="44" t="n">
        <v>1</v>
      </c>
      <c r="L15" s="9">
        <f>K15*J15</f>
        <v/>
      </c>
    </row>
    <row r="16">
      <c r="I16" s="44" t="inlineStr">
        <is>
          <t>Parle G</t>
        </is>
      </c>
    </row>
    <row r="17">
      <c r="I17" s="44" t="inlineStr">
        <is>
          <t>T&amp;T Chopstick</t>
        </is>
      </c>
      <c r="J17" s="47" t="n">
        <v>1.7</v>
      </c>
      <c r="K17" s="68" t="n">
        <v>5</v>
      </c>
      <c r="L17" s="9">
        <f>K17*J17</f>
        <v/>
      </c>
    </row>
    <row r="19">
      <c r="A19" s="72" t="inlineStr">
        <is>
          <t>Pretax Subtotal</t>
        </is>
      </c>
      <c r="D19" s="73">
        <f>SUM(D7:D16)</f>
        <v/>
      </c>
      <c r="E19" s="44" t="inlineStr">
        <is>
          <t>Subtotal</t>
        </is>
      </c>
      <c r="H19" s="45">
        <f> Sum(H7:H16)</f>
        <v/>
      </c>
      <c r="I19" s="44" t="inlineStr">
        <is>
          <t>Subtotal</t>
        </is>
      </c>
      <c r="L19" s="45">
        <f> Sum(L7:L17)</f>
        <v/>
      </c>
      <c r="M19" s="44" t="inlineStr">
        <is>
          <t>Subtotal</t>
        </is>
      </c>
      <c r="P19" s="45">
        <f> Sum(P7:P17)</f>
        <v/>
      </c>
    </row>
    <row r="20">
      <c r="A20" s="49" t="inlineStr">
        <is>
          <t>Taxes (13%)</t>
        </is>
      </c>
      <c r="B20" s="86" t="n">
        <v>0.13</v>
      </c>
      <c r="D20" s="47">
        <f>B20*D19</f>
        <v/>
      </c>
      <c r="E20" s="44" t="inlineStr">
        <is>
          <t>Platform Fees</t>
        </is>
      </c>
      <c r="H20" s="48" t="n">
        <v>52.11</v>
      </c>
    </row>
    <row r="21">
      <c r="A21" s="72" t="inlineStr">
        <is>
          <t>Posttax Subtotal</t>
        </is>
      </c>
      <c r="D21" s="73">
        <f>SUM(D19:D20)</f>
        <v/>
      </c>
    </row>
    <row r="22">
      <c r="A22" s="49" t="inlineStr">
        <is>
          <t>Discount (20%)</t>
        </is>
      </c>
      <c r="B22" s="86" t="n">
        <v>-0.2</v>
      </c>
      <c r="D22" s="47">
        <f>B22*D21</f>
        <v/>
      </c>
      <c r="E22" s="44" t="inlineStr">
        <is>
          <t>Pretax Subtotal</t>
        </is>
      </c>
      <c r="H22" s="45">
        <f>SUM(H19:H21)</f>
        <v/>
      </c>
      <c r="I22" s="44" t="inlineStr">
        <is>
          <t>Pretax Subtotal</t>
        </is>
      </c>
      <c r="L22" s="45">
        <f>SUM(L19:L21)</f>
        <v/>
      </c>
      <c r="M22" s="44" t="inlineStr">
        <is>
          <t>Pretax Subtotal</t>
        </is>
      </c>
      <c r="P22" s="45">
        <f>SUM(P19:P21)</f>
        <v/>
      </c>
    </row>
    <row r="23">
      <c r="A23" s="54" t="inlineStr">
        <is>
          <t>Postdiscount Subtotal</t>
        </is>
      </c>
      <c r="D23" s="87">
        <f>SUM(D21:D22)</f>
        <v/>
      </c>
      <c r="E23" s="49" t="inlineStr">
        <is>
          <t>Taxes (13%)</t>
        </is>
      </c>
      <c r="H23" s="47" t="n">
        <v>6.77</v>
      </c>
      <c r="I23" s="49" t="inlineStr">
        <is>
          <t>Taxes (13%)</t>
        </is>
      </c>
      <c r="L23" s="47">
        <f>L22*0.13</f>
        <v/>
      </c>
      <c r="M23" s="49" t="inlineStr">
        <is>
          <t>Taxes (13%)</t>
        </is>
      </c>
      <c r="P23" s="47">
        <f>P22*0.13</f>
        <v/>
      </c>
    </row>
    <row r="24">
      <c r="A24" s="49" t="inlineStr">
        <is>
          <t>Tip Delivery Driver</t>
        </is>
      </c>
      <c r="B24" s="86" t="n">
        <v>0.15</v>
      </c>
      <c r="D24" s="47">
        <f>B24*D23</f>
        <v/>
      </c>
    </row>
    <row r="25">
      <c r="A25" s="67" t="inlineStr">
        <is>
          <t>TOTAL (FOOD)</t>
        </is>
      </c>
      <c r="D25" s="70">
        <f>SUM(D23:D24)</f>
        <v/>
      </c>
      <c r="E25" s="67" t="inlineStr">
        <is>
          <t xml:space="preserve">TOTAL </t>
        </is>
      </c>
      <c r="H25" s="70">
        <f>SUM(H22:H24)</f>
        <v/>
      </c>
      <c r="I25" s="67" t="inlineStr">
        <is>
          <t xml:space="preserve">TOTAL </t>
        </is>
      </c>
      <c r="L25" s="70" t="n">
        <v>41</v>
      </c>
      <c r="M25" s="67" t="inlineStr">
        <is>
          <t xml:space="preserve">TOTAL </t>
        </is>
      </c>
      <c r="P25" s="70">
        <f>SUM(P22:P23)</f>
        <v/>
      </c>
      <c r="Q25" s="30">
        <f>SUM(A25:P25)</f>
        <v/>
      </c>
    </row>
    <row r="26">
      <c r="D26" s="22" t="inlineStr">
        <is>
          <t>INCREASED</t>
        </is>
      </c>
      <c r="H26" s="22" t="inlineStr">
        <is>
          <t>LOCKED</t>
        </is>
      </c>
    </row>
    <row r="27">
      <c r="I27" s="22" t="inlineStr">
        <is>
          <t>i only have 1 pack spoons and 1 pack forks rn</t>
        </is>
      </c>
    </row>
    <row r="28">
      <c r="I28" s="22" t="inlineStr">
        <is>
          <t>Mr yes will provide chopsticks and spoons and forks</t>
        </is>
      </c>
    </row>
    <row r="31">
      <c r="A31" s="4" t="inlineStr">
        <is>
          <t>— Dinner Catering —</t>
        </is>
      </c>
    </row>
    <row r="33">
      <c r="A33" s="74" t="inlineStr">
        <is>
          <t>Cheng Du Street Food</t>
        </is>
      </c>
      <c r="E33" s="67" t="inlineStr">
        <is>
          <t>Canteen via Uber</t>
        </is>
      </c>
      <c r="I33" s="67" t="inlineStr">
        <is>
          <t>Mr Yes</t>
        </is>
      </c>
    </row>
    <row r="34">
      <c r="A34" s="6" t="inlineStr">
        <is>
          <t>Item</t>
        </is>
      </c>
      <c r="B34" s="6" t="inlineStr">
        <is>
          <t>Cost price</t>
        </is>
      </c>
      <c r="C34" s="6" t="inlineStr">
        <is>
          <t>Amount</t>
        </is>
      </c>
      <c r="D34" s="6" t="inlineStr">
        <is>
          <t>Sum</t>
        </is>
      </c>
      <c r="E34" s="36" t="inlineStr">
        <is>
          <t>Item</t>
        </is>
      </c>
      <c r="F34" s="36" t="inlineStr">
        <is>
          <t>Cost price</t>
        </is>
      </c>
      <c r="G34" s="36" t="inlineStr">
        <is>
          <t>Amount</t>
        </is>
      </c>
      <c r="H34" s="36" t="inlineStr">
        <is>
          <t>Sum</t>
        </is>
      </c>
      <c r="I34" s="36" t="inlineStr">
        <is>
          <t>Item</t>
        </is>
      </c>
      <c r="J34" s="36" t="inlineStr">
        <is>
          <t>Cost price</t>
        </is>
      </c>
      <c r="K34" s="36" t="inlineStr">
        <is>
          <t>Amount</t>
        </is>
      </c>
      <c r="L34" s="36" t="inlineStr">
        <is>
          <t>Sum</t>
        </is>
      </c>
    </row>
    <row r="35">
      <c r="A35" s="69" t="inlineStr">
        <is>
          <t>夫妻肺片 Sliced beef and tripe in chili sauce</t>
        </is>
      </c>
      <c r="B35" s="47" t="n">
        <v>22.99</v>
      </c>
      <c r="C35" s="68" t="n">
        <v>4</v>
      </c>
      <c r="D35" s="47">
        <f>C35*B35</f>
        <v/>
      </c>
      <c r="E35" s="44" t="inlineStr">
        <is>
          <t>Hainanese Chicken on Rice</t>
        </is>
      </c>
      <c r="F35" s="47" t="n">
        <v>17</v>
      </c>
      <c r="G35" s="68" t="n">
        <v>4</v>
      </c>
      <c r="H35" s="47">
        <f>G35*F35</f>
        <v/>
      </c>
      <c r="I35" s="11" t="inlineStr">
        <is>
          <t>EGG Fried Rice VEGETARIAN 鸡蛋炒饭</t>
        </is>
      </c>
      <c r="J35" s="76" t="n">
        <v>15.99</v>
      </c>
      <c r="K35" s="77" t="n">
        <v>5</v>
      </c>
      <c r="L35" s="76">
        <f>K35*J35</f>
        <v/>
      </c>
    </row>
    <row r="36">
      <c r="A36" s="49" t="inlineStr">
        <is>
          <t>香橙荔枝虾 Fried shrimp with lychee and orange sauce</t>
        </is>
      </c>
      <c r="B36" s="47" t="n">
        <v>31.09</v>
      </c>
      <c r="C36" s="68" t="n">
        <v>4</v>
      </c>
      <c r="D36" s="47">
        <f>C36*B36</f>
        <v/>
      </c>
      <c r="E36" s="44" t="inlineStr">
        <is>
          <t>Nasi Lemak</t>
        </is>
      </c>
      <c r="F36" s="47" t="n">
        <v>17</v>
      </c>
      <c r="G36" s="68" t="n">
        <v>4</v>
      </c>
      <c r="H36" s="47">
        <f>G36*F36</f>
        <v/>
      </c>
      <c r="I36" s="14" t="inlineStr">
        <is>
          <t>Stir-fried Flat Rice Noodles with Beef 干炒牛河</t>
        </is>
      </c>
      <c r="J36" s="79" t="n">
        <v>18.99</v>
      </c>
      <c r="K36" s="80" t="n">
        <v>5</v>
      </c>
      <c r="L36" s="79">
        <f>K36*J36</f>
        <v/>
      </c>
    </row>
    <row r="37">
      <c r="A37" s="22" t="inlineStr">
        <is>
          <t>金汤泡椒酸菜鱼片 Fish fillet with Sichuan pickle in spicy sour soup</t>
        </is>
      </c>
      <c r="B37" s="47" t="n">
        <v>34.49</v>
      </c>
      <c r="C37" s="68" t="n">
        <v>4</v>
      </c>
      <c r="D37" s="47">
        <f>C37*B37</f>
        <v/>
      </c>
      <c r="E37" s="84" t="inlineStr">
        <is>
          <t>Baked Spaghetti with Minced Beef &amp; Cheese</t>
        </is>
      </c>
      <c r="F37" s="47" t="n">
        <v>15</v>
      </c>
      <c r="G37" s="68" t="n">
        <v>4</v>
      </c>
      <c r="H37" s="47">
        <f>G37*F37</f>
        <v/>
      </c>
      <c r="I37" s="81" t="inlineStr">
        <is>
          <t>Crispy Sweet &amp; Sour Pork</t>
        </is>
      </c>
      <c r="J37" s="76" t="n">
        <v>22.99</v>
      </c>
      <c r="K37" s="77" t="n">
        <v>5</v>
      </c>
      <c r="L37" s="76">
        <f>K37*J37</f>
        <v/>
      </c>
    </row>
    <row r="38">
      <c r="A38" s="49" t="inlineStr">
        <is>
          <t>鱼香茄子 Sautéed eggplant in spicy garlic sauce</t>
        </is>
      </c>
      <c r="B38" s="47" t="n">
        <v>19.59</v>
      </c>
      <c r="C38" s="68" t="n">
        <v>3</v>
      </c>
      <c r="D38" s="47">
        <f>C38*B38</f>
        <v/>
      </c>
      <c r="E38" s="44" t="inlineStr">
        <is>
          <t>Malaysian Stur Fried Hokkien Noodles</t>
        </is>
      </c>
      <c r="F38" s="47" t="n">
        <v>17</v>
      </c>
      <c r="G38" s="68" t="n">
        <v>4</v>
      </c>
      <c r="H38" s="47">
        <f>G38*F38</f>
        <v/>
      </c>
      <c r="I38" s="88" t="inlineStr">
        <is>
          <t>Tomato &amp; Egg Stir Fry</t>
        </is>
      </c>
      <c r="J38" s="79" t="n">
        <v>14.99</v>
      </c>
      <c r="K38" s="80" t="n">
        <v>4</v>
      </c>
      <c r="L38" s="79">
        <f>K38*J38</f>
        <v/>
      </c>
    </row>
    <row r="39">
      <c r="A39" s="49" t="inlineStr">
        <is>
          <t>番茄炒蛋 Stir fried scrambled egg and tomato</t>
        </is>
      </c>
      <c r="B39" s="47" t="n">
        <v>18.39</v>
      </c>
      <c r="C39" s="68" t="n">
        <v>3</v>
      </c>
      <c r="D39" s="47">
        <f>C39*B39</f>
        <v/>
      </c>
      <c r="E39" s="44" t="inlineStr">
        <is>
          <t>Baked Fish with Spinach &amp; Bacon in Cream Sauce &amp; Cheese on Rice</t>
        </is>
      </c>
      <c r="F39" s="47" t="n">
        <v>17</v>
      </c>
      <c r="G39" s="68" t="n">
        <v>4</v>
      </c>
      <c r="H39" s="47">
        <f>G39*F39</f>
        <v/>
      </c>
      <c r="I39" s="89" t="inlineStr">
        <is>
          <t>Braised Shiitake Mushrooms</t>
        </is>
      </c>
      <c r="J39" s="76" t="n">
        <v>19.99</v>
      </c>
      <c r="K39" s="77" t="n">
        <v>5</v>
      </c>
      <c r="L39" s="76">
        <f>K39*J39</f>
        <v/>
      </c>
    </row>
    <row r="40">
      <c r="A40" s="49" t="inlineStr">
        <is>
          <t>火爆高丽菜 Stir fried cabbage with vinaigrette</t>
        </is>
      </c>
      <c r="B40" s="47" t="n">
        <v>18.39</v>
      </c>
      <c r="C40" s="68" t="n">
        <v>3</v>
      </c>
      <c r="D40" s="47">
        <f>C40*B40</f>
        <v/>
      </c>
      <c r="E40" s="44" t="inlineStr">
        <is>
          <t>Baked Spaghetti with Ham, Chicken &amp; Cheese in Tomato Sauce</t>
        </is>
      </c>
      <c r="F40" s="47" t="n">
        <v>15</v>
      </c>
      <c r="G40" s="68" t="n">
        <v>4</v>
      </c>
      <c r="H40" s="47">
        <f>G40*F40</f>
        <v/>
      </c>
      <c r="I40" s="14" t="inlineStr">
        <is>
          <t>Home style tofu 家常豆腐 VEGE</t>
        </is>
      </c>
      <c r="J40" s="79" t="n">
        <v>14.99</v>
      </c>
      <c r="K40" s="80" t="n">
        <v>2</v>
      </c>
      <c r="L40" s="79">
        <f>K40*J40</f>
        <v/>
      </c>
    </row>
    <row r="41">
      <c r="A41" s="44" t="inlineStr">
        <is>
          <t>扬州炒饭 Yangzhou fried rice</t>
        </is>
      </c>
      <c r="B41" s="47" t="n">
        <v>19.59</v>
      </c>
      <c r="C41" s="68" t="n">
        <v>10</v>
      </c>
      <c r="D41" s="47">
        <f>C41*B41</f>
        <v/>
      </c>
      <c r="E41" s="44" t="inlineStr">
        <is>
          <t>Honey Garlic Wings with Fries (8pc)</t>
        </is>
      </c>
      <c r="F41" s="47" t="n">
        <v>14</v>
      </c>
      <c r="G41" s="68" t="n">
        <v>6</v>
      </c>
      <c r="H41" s="47">
        <f>G41*F41</f>
        <v/>
      </c>
      <c r="I41" s="78" t="inlineStr">
        <is>
          <t>General Tso's Chicken</t>
        </is>
      </c>
      <c r="J41" s="83" t="n">
        <v>18.99</v>
      </c>
      <c r="K41" s="85" t="n">
        <v>5</v>
      </c>
      <c r="L41" s="76">
        <f>K41*J41</f>
        <v/>
      </c>
    </row>
    <row r="42">
      <c r="E42" s="44" t="inlineStr">
        <is>
          <t>Deep Fried Chicken Wings with Fries (8pcs)</t>
        </is>
      </c>
      <c r="F42" s="47" t="n">
        <v>14</v>
      </c>
      <c r="G42" s="68" t="n">
        <v>6</v>
      </c>
      <c r="H42" s="47">
        <f>G42*F42</f>
        <v/>
      </c>
      <c r="I42" s="88" t="inlineStr">
        <is>
          <t>Cumin Lamb Ribs</t>
        </is>
      </c>
      <c r="J42" s="79" t="n">
        <v>23.99</v>
      </c>
      <c r="K42" s="80" t="n">
        <v>5</v>
      </c>
      <c r="L42" s="79">
        <f>K42*J42</f>
        <v/>
      </c>
    </row>
    <row r="43">
      <c r="E43" s="44" t="inlineStr">
        <is>
          <t>Onion Rings</t>
        </is>
      </c>
      <c r="F43" s="47" t="n">
        <v>7.5</v>
      </c>
      <c r="G43" s="68" t="n">
        <v>6</v>
      </c>
      <c r="H43" s="47">
        <f>G43*F43</f>
        <v/>
      </c>
      <c r="I43" s="89" t="inlineStr">
        <is>
          <t>SpringRolls</t>
        </is>
      </c>
      <c r="J43" s="76" t="n">
        <v>8.880000000000001</v>
      </c>
      <c r="K43" s="77" t="n">
        <v>10</v>
      </c>
      <c r="L43" s="76">
        <f>J43*K43</f>
        <v/>
      </c>
    </row>
    <row r="44">
      <c r="E44" s="44" t="inlineStr">
        <is>
          <t>Beverage</t>
        </is>
      </c>
      <c r="F44" s="47" t="n">
        <v>2.5</v>
      </c>
      <c r="G44" s="68" t="n">
        <v>40</v>
      </c>
      <c r="H44" s="47">
        <f>G44*F44</f>
        <v/>
      </c>
      <c r="I44" s="90" t="inlineStr">
        <is>
          <t>Stir-Fried Beef with Bell Peppers	$23.99</t>
        </is>
      </c>
      <c r="J44" s="91" t="n">
        <v>23.99</v>
      </c>
      <c r="K44" s="90" t="n">
        <v>5</v>
      </c>
      <c r="L44" s="76">
        <f>J44*K44</f>
        <v/>
      </c>
    </row>
    <row r="45">
      <c r="A45" s="10" t="inlineStr">
        <is>
          <t>Subtotal Food</t>
        </is>
      </c>
      <c r="D45" s="24">
        <f>SUM(D35:D43)</f>
        <v/>
      </c>
      <c r="E45" s="44" t="inlineStr">
        <is>
          <t>Subtotal Food</t>
        </is>
      </c>
      <c r="H45" s="45">
        <f> Sum(H35:H44)</f>
        <v/>
      </c>
      <c r="I45" s="72" t="inlineStr">
        <is>
          <t>Pretax Subtotal</t>
        </is>
      </c>
      <c r="L45" s="73">
        <f>SUM(L35:L44)</f>
        <v/>
      </c>
    </row>
    <row r="46">
      <c r="A46" s="46" t="inlineStr">
        <is>
          <t>Delivery Fee</t>
        </is>
      </c>
      <c r="D46" s="47" t="n">
        <v>6.49</v>
      </c>
      <c r="E46" s="46" t="inlineStr">
        <is>
          <t>Delivery Fee</t>
        </is>
      </c>
      <c r="H46" s="47" t="n">
        <v>6.49</v>
      </c>
      <c r="I46" s="49" t="inlineStr">
        <is>
          <t>Taxes (13%)</t>
        </is>
      </c>
      <c r="J46" s="86" t="n">
        <v>0.13</v>
      </c>
      <c r="L46" s="47">
        <f>J46*L45</f>
        <v/>
      </c>
    </row>
    <row r="47">
      <c r="A47" s="49" t="inlineStr">
        <is>
          <t>Platform Fee</t>
        </is>
      </c>
      <c r="D47" s="47" t="n">
        <v>6.5</v>
      </c>
      <c r="E47" s="49" t="inlineStr">
        <is>
          <t>Platform Fee</t>
        </is>
      </c>
      <c r="H47" s="47" t="n">
        <v>6.5</v>
      </c>
      <c r="I47" s="72" t="inlineStr">
        <is>
          <t>Posttax Subtotal</t>
        </is>
      </c>
      <c r="L47" s="73">
        <f>SUM(L45:L46)</f>
        <v/>
      </c>
    </row>
    <row r="48">
      <c r="A48" s="10" t="inlineStr">
        <is>
          <t>Pretax Subtotal</t>
        </is>
      </c>
      <c r="D48" s="24">
        <f>SUM(D45:D47)</f>
        <v/>
      </c>
      <c r="E48" s="44" t="inlineStr">
        <is>
          <t>Pretax Subtotal</t>
        </is>
      </c>
      <c r="H48" s="45">
        <f>SUM(H45:H47)</f>
        <v/>
      </c>
      <c r="I48" s="49" t="inlineStr">
        <is>
          <t>Discount (20%)</t>
        </is>
      </c>
      <c r="J48" s="86" t="n">
        <v>-0.2</v>
      </c>
      <c r="L48" s="47">
        <f>J48*L47</f>
        <v/>
      </c>
    </row>
    <row r="49">
      <c r="A49" s="28" t="inlineStr">
        <is>
          <t>Taxes (13%)</t>
        </is>
      </c>
      <c r="D49" s="9">
        <f>D48*0.13</f>
        <v/>
      </c>
      <c r="E49" s="49" t="inlineStr">
        <is>
          <t>Taxes (13%)</t>
        </is>
      </c>
      <c r="H49" s="47">
        <f>H48*0.13</f>
        <v/>
      </c>
      <c r="I49" s="54" t="inlineStr">
        <is>
          <t>Postdiscount Subtotal</t>
        </is>
      </c>
      <c r="L49" s="87">
        <f>SUM(L47:L48)</f>
        <v/>
      </c>
    </row>
    <row r="50">
      <c r="A50" s="10" t="inlineStr">
        <is>
          <t>Tip (15%)</t>
        </is>
      </c>
      <c r="D50" s="24">
        <f>D48*0.15</f>
        <v/>
      </c>
      <c r="E50" s="44" t="inlineStr">
        <is>
          <t>Tip (15%)</t>
        </is>
      </c>
      <c r="H50" s="45">
        <f>H48*0.15</f>
        <v/>
      </c>
      <c r="I50" s="49" t="inlineStr">
        <is>
          <t>Tip Delivery Driver</t>
        </is>
      </c>
      <c r="J50" s="86" t="n">
        <v>0.15</v>
      </c>
      <c r="L50" s="47">
        <f>J50*L49</f>
        <v/>
      </c>
    </row>
    <row r="51">
      <c r="A51" s="33" t="inlineStr">
        <is>
          <t>TOTAL (FOOD)</t>
        </is>
      </c>
      <c r="D51" s="92">
        <f>SUM(D48:D50)</f>
        <v/>
      </c>
      <c r="E51" s="67" t="inlineStr">
        <is>
          <t>TOTAL (FOOD)</t>
        </is>
      </c>
      <c r="H51" s="70">
        <f>SUM(H48:H50)</f>
        <v/>
      </c>
      <c r="I51" s="67" t="inlineStr">
        <is>
          <t>TOTAL (FOOD)</t>
        </is>
      </c>
      <c r="L51" s="70">
        <f>SUM(L49:L50)</f>
        <v/>
      </c>
    </row>
    <row r="54">
      <c r="A54" s="4" t="inlineStr">
        <is>
          <t>— Dessert —</t>
        </is>
      </c>
    </row>
    <row r="56">
      <c r="A56" s="5" t="inlineStr">
        <is>
          <t>The Sweet Spot Fantuan</t>
        </is>
      </c>
      <c r="E56" s="67" t="inlineStr">
        <is>
          <t>Yin Ji Chang Fen Fantuan</t>
        </is>
      </c>
      <c r="I56" s="67" t="inlineStr">
        <is>
          <t>HongKong Island Dim Sum House(DT) Fantuan</t>
        </is>
      </c>
    </row>
    <row r="57">
      <c r="A57" s="6" t="inlineStr">
        <is>
          <t>Item</t>
        </is>
      </c>
      <c r="B57" s="6" t="inlineStr">
        <is>
          <t>Cost price</t>
        </is>
      </c>
      <c r="C57" s="6" t="inlineStr">
        <is>
          <t>Amount</t>
        </is>
      </c>
      <c r="D57" s="6" t="inlineStr">
        <is>
          <t>Sum</t>
        </is>
      </c>
      <c r="E57" s="36" t="inlineStr">
        <is>
          <t>Item</t>
        </is>
      </c>
      <c r="F57" s="36" t="inlineStr">
        <is>
          <t>Cost price</t>
        </is>
      </c>
      <c r="G57" s="36" t="inlineStr">
        <is>
          <t>Amount</t>
        </is>
      </c>
      <c r="H57" s="36" t="inlineStr">
        <is>
          <t>Sum</t>
        </is>
      </c>
      <c r="I57" s="36" t="inlineStr">
        <is>
          <t>Item</t>
        </is>
      </c>
      <c r="J57" s="36" t="inlineStr">
        <is>
          <t>Cost price</t>
        </is>
      </c>
      <c r="K57" s="36" t="inlineStr">
        <is>
          <t>Amount</t>
        </is>
      </c>
      <c r="L57" s="36" t="inlineStr">
        <is>
          <t>Sum</t>
        </is>
      </c>
    </row>
    <row r="58">
      <c r="A58" s="7" t="inlineStr">
        <is>
          <t>Classics Original</t>
        </is>
      </c>
      <c r="B58" s="8" t="n">
        <v>13.8</v>
      </c>
      <c r="C58" s="7" t="n">
        <v>10</v>
      </c>
      <c r="D58" s="9">
        <f>C58*B58</f>
        <v/>
      </c>
      <c r="E58" s="44" t="inlineStr">
        <is>
          <t>Black Sesame Paste</t>
        </is>
      </c>
      <c r="F58" s="47" t="n">
        <v>7.49</v>
      </c>
      <c r="G58" s="68" t="n">
        <v>20</v>
      </c>
      <c r="H58" s="9">
        <f>G58*F58</f>
        <v/>
      </c>
      <c r="I58" s="49" t="inlineStr">
        <is>
          <t>Portuguese Tart</t>
        </is>
      </c>
      <c r="J58" s="47" t="n">
        <v>3.49</v>
      </c>
      <c r="K58" s="68" t="n">
        <v>40</v>
      </c>
      <c r="L58" s="9">
        <f>K58*J58</f>
        <v/>
      </c>
    </row>
    <row r="59">
      <c r="A59" s="7" t="inlineStr">
        <is>
          <t>Persimmon Bliss</t>
        </is>
      </c>
      <c r="B59" s="8" t="n">
        <v>11.5</v>
      </c>
      <c r="C59" s="7" t="n">
        <v>10</v>
      </c>
      <c r="D59" s="9">
        <f>C59*B59</f>
        <v/>
      </c>
      <c r="E59" s="44" t="inlineStr">
        <is>
          <t>Sweet Almond Paste</t>
        </is>
      </c>
      <c r="F59" s="47" t="n">
        <v>8.25</v>
      </c>
      <c r="G59" s="68" t="n">
        <v>20</v>
      </c>
      <c r="H59" s="9">
        <f>G59*F59</f>
        <v/>
      </c>
      <c r="I59" s="49" t="inlineStr">
        <is>
          <t>Strawberry Cheesecake</t>
        </is>
      </c>
      <c r="J59" s="47" t="n">
        <v>5.49</v>
      </c>
      <c r="K59" s="68" t="n">
        <v>40</v>
      </c>
      <c r="L59" s="9">
        <f>K59*J59</f>
        <v/>
      </c>
    </row>
    <row r="60">
      <c r="A60" s="93" t="inlineStr">
        <is>
          <t xml:space="preserve">Duo </t>
        </is>
      </c>
      <c r="B60" s="8" t="n">
        <v>11.5</v>
      </c>
      <c r="C60" s="7" t="n">
        <v>10</v>
      </c>
      <c r="D60" s="9">
        <f>C60*B60</f>
        <v/>
      </c>
      <c r="E60" s="84" t="inlineStr">
        <is>
          <t>Sweet Walnut Paste</t>
        </is>
      </c>
      <c r="F60" s="47" t="n">
        <v>8.25</v>
      </c>
      <c r="G60" s="68" t="n">
        <v>20</v>
      </c>
      <c r="H60" s="9">
        <f>G60*F60</f>
        <v/>
      </c>
      <c r="I60" s="44" t="inlineStr">
        <is>
          <t>Mini NY Cheesecake</t>
        </is>
      </c>
      <c r="J60" s="48" t="n">
        <v>4.99</v>
      </c>
      <c r="K60" s="68" t="n">
        <v>40</v>
      </c>
      <c r="L60" s="9">
        <f>K60*J60</f>
        <v/>
      </c>
    </row>
    <row r="61">
      <c r="A61" s="7" t="inlineStr">
        <is>
          <t>Yunnan Green Tea</t>
        </is>
      </c>
      <c r="B61" s="8" t="n">
        <v>8.93</v>
      </c>
      <c r="C61" s="7" t="n">
        <v>10</v>
      </c>
      <c r="D61" s="9">
        <f>C61*B61</f>
        <v/>
      </c>
    </row>
    <row r="68">
      <c r="A68" s="10" t="inlineStr">
        <is>
          <t>Subtotal Food</t>
        </is>
      </c>
      <c r="D68" s="24">
        <f>SUM(D58:D66)</f>
        <v/>
      </c>
      <c r="E68" s="44" t="inlineStr">
        <is>
          <t>Subtotal</t>
        </is>
      </c>
      <c r="H68" s="45">
        <f> Sum(H58:H67)</f>
        <v/>
      </c>
      <c r="I68" s="44" t="inlineStr">
        <is>
          <t>Subtotal</t>
        </is>
      </c>
      <c r="L68" s="45">
        <f> Sum(L58:L66)</f>
        <v/>
      </c>
    </row>
    <row r="69">
      <c r="A69" s="27" t="inlineStr">
        <is>
          <t>Delivery Fee</t>
        </is>
      </c>
      <c r="D69" s="9" t="n">
        <v>3.99</v>
      </c>
      <c r="E69" s="44" t="inlineStr">
        <is>
          <t>Platform Fees</t>
        </is>
      </c>
      <c r="H69" s="48" t="n">
        <v>15</v>
      </c>
      <c r="I69" s="44" t="inlineStr">
        <is>
          <t>Delivery Fee</t>
        </is>
      </c>
      <c r="L69" s="48" t="n">
        <v>2.99</v>
      </c>
    </row>
    <row r="70">
      <c r="A70" s="28" t="inlineStr">
        <is>
          <t>Service Fee</t>
        </is>
      </c>
      <c r="D70" s="9" t="n">
        <v>6.7</v>
      </c>
      <c r="I70" s="44" t="inlineStr">
        <is>
          <t>Platform Fee</t>
        </is>
      </c>
      <c r="L70" s="48" t="n">
        <v>17</v>
      </c>
    </row>
    <row r="71">
      <c r="A71" s="10" t="inlineStr">
        <is>
          <t>Pretax Subtotal</t>
        </is>
      </c>
      <c r="D71" s="24">
        <f>SUM(D68:D70)</f>
        <v/>
      </c>
      <c r="E71" s="44" t="inlineStr">
        <is>
          <t>Pretax Subtotal</t>
        </is>
      </c>
      <c r="H71" s="45">
        <f>SUM(H68:H70)</f>
        <v/>
      </c>
      <c r="I71" s="44" t="inlineStr">
        <is>
          <t>Pretax Subtotal</t>
        </is>
      </c>
      <c r="L71" s="45">
        <f>SUM(L68:L70)</f>
        <v/>
      </c>
    </row>
    <row r="72">
      <c r="A72" s="28" t="inlineStr">
        <is>
          <t>Taxes (13%)</t>
        </is>
      </c>
      <c r="D72" s="9">
        <f>D71*0.13</f>
        <v/>
      </c>
      <c r="E72" s="49" t="inlineStr">
        <is>
          <t>Taxes (13%)</t>
        </is>
      </c>
      <c r="H72" s="47">
        <f>H71*0.13</f>
        <v/>
      </c>
      <c r="I72" s="49" t="inlineStr">
        <is>
          <t>Taxes (13%)</t>
        </is>
      </c>
      <c r="L72" s="47">
        <f>L71*0.13</f>
        <v/>
      </c>
    </row>
    <row r="74">
      <c r="A74" s="94" t="inlineStr">
        <is>
          <t xml:space="preserve">TOTAL </t>
        </is>
      </c>
      <c r="D74" s="75">
        <f>SUM(D71:D73)</f>
        <v/>
      </c>
      <c r="E74" s="67" t="inlineStr">
        <is>
          <t xml:space="preserve">TOTAL </t>
        </is>
      </c>
      <c r="H74" s="70">
        <f>SUM(H71:H73)</f>
        <v/>
      </c>
      <c r="I74" s="67" t="inlineStr">
        <is>
          <t>TOTAL (FOOD)</t>
        </is>
      </c>
      <c r="L74" s="70">
        <f>SUM(L71:L73)</f>
        <v/>
      </c>
    </row>
    <row r="77">
      <c r="A77" s="4" t="inlineStr">
        <is>
          <t>— Platter &amp; Snacks —</t>
        </is>
      </c>
    </row>
    <row r="79">
      <c r="A79" s="67" t="inlineStr">
        <is>
          <t>Shop Malaysia Canada</t>
        </is>
      </c>
      <c r="E79" s="67" t="inlineStr">
        <is>
          <t>Shop Malaysia Canada</t>
        </is>
      </c>
      <c r="I79" s="22" t="inlineStr">
        <is>
          <t>To our knowledge, can only be sourced from this distributor!</t>
        </is>
      </c>
    </row>
    <row r="80">
      <c r="A80" s="36" t="inlineStr">
        <is>
          <t>Item</t>
        </is>
      </c>
      <c r="B80" s="36" t="inlineStr">
        <is>
          <t>Cost price</t>
        </is>
      </c>
      <c r="C80" s="36" t="inlineStr">
        <is>
          <t>Amount</t>
        </is>
      </c>
      <c r="D80" s="36" t="inlineStr">
        <is>
          <t>Sum</t>
        </is>
      </c>
      <c r="E80" s="36" t="inlineStr">
        <is>
          <t>Item</t>
        </is>
      </c>
      <c r="F80" s="36" t="inlineStr">
        <is>
          <t>Cost price</t>
        </is>
      </c>
      <c r="G80" s="36" t="inlineStr">
        <is>
          <t>Amount</t>
        </is>
      </c>
      <c r="H80" s="36" t="inlineStr">
        <is>
          <t>Sum</t>
        </is>
      </c>
    </row>
    <row r="81">
      <c r="A81" s="44" t="inlineStr">
        <is>
          <t>Prepacked Hoong Wan Yee Sang/Lou Sang (Vegetarian)</t>
        </is>
      </c>
      <c r="B81" s="47" t="n">
        <v>36.88</v>
      </c>
      <c r="C81" s="68" t="n">
        <v>2</v>
      </c>
      <c r="D81" s="9">
        <f>C81*B81</f>
        <v/>
      </c>
      <c r="E81" s="44" t="inlineStr">
        <is>
          <t>Cashew Nut Cookies</t>
        </is>
      </c>
      <c r="F81" s="47" t="n">
        <v>17</v>
      </c>
      <c r="G81" s="68" t="n">
        <v>1</v>
      </c>
      <c r="H81" s="9">
        <f>G81*F81</f>
        <v/>
      </c>
    </row>
    <row r="82">
      <c r="A82" s="44" t="inlineStr">
        <is>
          <t>Prepacked Loh Hee Yee Sang/Lou Sang (Big)</t>
        </is>
      </c>
      <c r="B82" s="47" t="n">
        <v>38.88</v>
      </c>
      <c r="C82" s="68" t="n">
        <v>3</v>
      </c>
      <c r="D82" s="9">
        <f>C82*B82</f>
        <v/>
      </c>
      <c r="E82" s="44" t="inlineStr">
        <is>
          <t>Egg Roll</t>
        </is>
      </c>
      <c r="F82" s="47" t="n">
        <v>18</v>
      </c>
      <c r="G82" s="68" t="n">
        <v>1</v>
      </c>
      <c r="H82" s="9">
        <f>G82*F82</f>
        <v/>
      </c>
    </row>
    <row r="83">
      <c r="E83" s="84" t="inlineStr">
        <is>
          <t>Fish Crackers</t>
        </is>
      </c>
      <c r="F83" s="47" t="n">
        <v>17</v>
      </c>
      <c r="G83" s="68" t="n">
        <v>1</v>
      </c>
      <c r="H83" s="9">
        <f>G83*F83</f>
        <v/>
      </c>
    </row>
    <row r="84">
      <c r="E84" s="44" t="inlineStr">
        <is>
          <t>Kuih Bangkit</t>
        </is>
      </c>
      <c r="F84" s="48" t="n">
        <v>20</v>
      </c>
      <c r="G84" s="44" t="n">
        <v>1</v>
      </c>
      <c r="H84" s="9">
        <f>G84*F84</f>
        <v/>
      </c>
    </row>
    <row r="85">
      <c r="E85" s="44" t="inlineStr">
        <is>
          <t>Pineapple Tart</t>
        </is>
      </c>
      <c r="F85" s="48" t="n">
        <v>25</v>
      </c>
      <c r="G85" s="44" t="n">
        <v>2</v>
      </c>
      <c r="H85" s="9">
        <f>G85*F85</f>
        <v/>
      </c>
    </row>
    <row r="86">
      <c r="E86" s="44" t="inlineStr">
        <is>
          <t>Prune Kuih Lapis</t>
        </is>
      </c>
      <c r="F86" s="48" t="n">
        <v>20</v>
      </c>
      <c r="G86" s="44" t="n">
        <v>2</v>
      </c>
      <c r="H86" s="9">
        <f>G86*F86</f>
        <v/>
      </c>
    </row>
    <row r="87">
      <c r="E87" s="44" t="inlineStr">
        <is>
          <t>12pc Kickapoo Joy Juice</t>
        </is>
      </c>
      <c r="F87" s="48" t="n">
        <v>23.88</v>
      </c>
      <c r="G87" s="44" t="n">
        <v>3</v>
      </c>
      <c r="H87" s="9">
        <f>G87*F87</f>
        <v/>
      </c>
    </row>
    <row r="91">
      <c r="A91" s="44" t="inlineStr">
        <is>
          <t>Subtotal</t>
        </is>
      </c>
      <c r="D91" s="45">
        <f> Sum(D81:D90)</f>
        <v/>
      </c>
      <c r="E91" s="44" t="inlineStr">
        <is>
          <t>Subtotal</t>
        </is>
      </c>
      <c r="H91" s="45">
        <f> Sum(H81:H90)</f>
        <v/>
      </c>
    </row>
    <row r="92">
      <c r="A92" s="44" t="inlineStr">
        <is>
          <t>Platform Fees</t>
        </is>
      </c>
      <c r="E92" s="44" t="inlineStr">
        <is>
          <t>Platform Fees</t>
        </is>
      </c>
    </row>
    <row r="94">
      <c r="A94" s="44" t="inlineStr">
        <is>
          <t>Pretax Subtotal</t>
        </is>
      </c>
      <c r="D94" s="45">
        <f>SUM(D91:D93)</f>
        <v/>
      </c>
      <c r="E94" s="44" t="inlineStr">
        <is>
          <t>Pretax Subtotal</t>
        </is>
      </c>
      <c r="H94" s="45">
        <f>SUM(H91:H93)</f>
        <v/>
      </c>
    </row>
    <row r="95">
      <c r="A95" s="49" t="inlineStr">
        <is>
          <t>Taxes (13%)</t>
        </is>
      </c>
      <c r="D95" s="47">
        <f>D94*0.13</f>
        <v/>
      </c>
      <c r="E95" s="49" t="inlineStr">
        <is>
          <t>Taxes (13%)</t>
        </is>
      </c>
      <c r="H95" s="47">
        <f>H94*0.13</f>
        <v/>
      </c>
    </row>
    <row r="97">
      <c r="A97" s="67" t="inlineStr">
        <is>
          <t xml:space="preserve">TOTAL </t>
        </is>
      </c>
      <c r="D97" s="70">
        <f>SUM(D94:D96)</f>
        <v/>
      </c>
      <c r="E97" s="67" t="inlineStr">
        <is>
          <t xml:space="preserve">TOTAL </t>
        </is>
      </c>
      <c r="H97" s="70">
        <f>SUM(H94:H96)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9.63" customWidth="1" min="9" max="9"/>
    <col width="16" customWidth="1" min="10" max="10"/>
    <col width="16" customWidth="1" min="11" max="11"/>
    <col width="16" customWidth="1" min="12" max="12"/>
    <col width="13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3" customWidth="1" min="25" max="25"/>
    <col width="16" customWidth="1" min="26" max="26"/>
  </cols>
  <sheetData>
    <row r="1">
      <c r="A1" s="1" t="inlineStr">
        <is>
          <t>Super Bowl Watch Party (Feb 8 2026)</t>
        </is>
      </c>
    </row>
    <row r="3">
      <c r="A3" s="4" t="inlineStr">
        <is>
          <t>— Catering —</t>
        </is>
      </c>
    </row>
    <row r="5">
      <c r="A5" s="74" t="inlineStr">
        <is>
          <t>Chipotle</t>
        </is>
      </c>
      <c r="E5" s="5" t="inlineStr">
        <is>
          <t>Pumpernickel's Sandwiches</t>
        </is>
      </c>
      <c r="I5" s="5" t="inlineStr">
        <is>
          <t>Domino's Pizza</t>
        </is>
      </c>
    </row>
    <row r="6">
      <c r="A6" s="6" t="inlineStr">
        <is>
          <t>Item</t>
        </is>
      </c>
      <c r="B6" s="6" t="inlineStr">
        <is>
          <t>Cost price</t>
        </is>
      </c>
      <c r="C6" s="6" t="inlineStr">
        <is>
          <t>Amount</t>
        </is>
      </c>
      <c r="D6" s="6" t="inlineStr">
        <is>
          <t>Sum</t>
        </is>
      </c>
      <c r="E6" s="6" t="inlineStr">
        <is>
          <t>Item</t>
        </is>
      </c>
      <c r="F6" s="6" t="inlineStr">
        <is>
          <t>Cost price</t>
        </is>
      </c>
      <c r="G6" s="6" t="inlineStr">
        <is>
          <t>Amount</t>
        </is>
      </c>
      <c r="H6" s="6" t="inlineStr">
        <is>
          <t>Sum</t>
        </is>
      </c>
      <c r="I6" s="6" t="inlineStr">
        <is>
          <t>Item</t>
        </is>
      </c>
      <c r="J6" s="6" t="inlineStr">
        <is>
          <t>Cost price</t>
        </is>
      </c>
      <c r="K6" s="6" t="inlineStr">
        <is>
          <t>Amount</t>
        </is>
      </c>
      <c r="L6" s="6" t="inlineStr">
        <is>
          <t>Sum</t>
        </is>
      </c>
    </row>
    <row r="7">
      <c r="A7" s="49" t="inlineStr">
        <is>
          <t>Chips &amp; Dips Spread 10pax</t>
        </is>
      </c>
      <c r="B7" s="47" t="n">
        <v>40</v>
      </c>
      <c r="C7" s="68" t="n">
        <v>2</v>
      </c>
      <c r="D7" s="47">
        <f>C7*B7</f>
        <v/>
      </c>
      <c r="E7" s="49" t="inlineStr">
        <is>
          <t>Assorted Sandwich Meal</t>
        </is>
      </c>
      <c r="F7" s="47" t="n">
        <v>206.9</v>
      </c>
      <c r="G7" s="68" t="n">
        <v>2</v>
      </c>
      <c r="H7" s="47">
        <f>G7*F7</f>
        <v/>
      </c>
      <c r="I7" s="49" t="inlineStr">
        <is>
          <t>32pc Wings</t>
        </is>
      </c>
      <c r="J7" s="47" t="n">
        <v>36.99</v>
      </c>
      <c r="K7" s="68" t="n">
        <v>3</v>
      </c>
      <c r="L7" s="47">
        <f>K7*J7</f>
        <v/>
      </c>
    </row>
    <row r="8">
      <c r="A8" s="49" t="inlineStr">
        <is>
          <t>BYO Spread</t>
        </is>
      </c>
      <c r="B8" s="47" t="n">
        <v>8.25</v>
      </c>
      <c r="C8" s="68" t="n">
        <v>20</v>
      </c>
      <c r="D8" s="47">
        <f>C8*B8</f>
        <v/>
      </c>
      <c r="E8" s="49" t="inlineStr">
        <is>
          <t>Utensils</t>
        </is>
      </c>
      <c r="F8" s="47" t="n">
        <v>28.1</v>
      </c>
      <c r="G8" s="68" t="n">
        <v>3</v>
      </c>
      <c r="H8" s="47">
        <f>G8*F8</f>
        <v/>
      </c>
      <c r="I8" s="44" t="inlineStr">
        <is>
          <t>Caesar Salad</t>
        </is>
      </c>
      <c r="J8" s="47" t="n">
        <v>6</v>
      </c>
      <c r="K8" s="68" t="n">
        <v>15</v>
      </c>
      <c r="L8" s="47">
        <f>K8*J8</f>
        <v/>
      </c>
    </row>
    <row r="9">
      <c r="A9" s="69" t="inlineStr">
        <is>
          <t>Burritos by the Box</t>
        </is>
      </c>
      <c r="B9" s="47" t="n">
        <v>8.75</v>
      </c>
      <c r="C9" s="68" t="n">
        <v>20</v>
      </c>
      <c r="D9" s="47">
        <f>C9*B9</f>
        <v/>
      </c>
      <c r="I9" s="17" t="inlineStr">
        <is>
          <t>BYO Pizza 12"</t>
        </is>
      </c>
      <c r="J9" s="8" t="n">
        <v>10.99</v>
      </c>
      <c r="K9" s="7" t="n">
        <v>5</v>
      </c>
      <c r="L9" s="47">
        <f>K9*J9</f>
        <v/>
      </c>
    </row>
    <row r="10">
      <c r="A10" s="49" t="inlineStr">
        <is>
          <t>Guacamole Portion Sharing</t>
        </is>
      </c>
      <c r="B10" s="47" t="n">
        <v>57.4</v>
      </c>
      <c r="C10" s="68" t="n">
        <v>1</v>
      </c>
      <c r="D10" s="47">
        <f>C10*B10</f>
        <v/>
      </c>
      <c r="I10" s="10" t="inlineStr">
        <is>
          <t>Hawaiian Feast Pizza</t>
        </is>
      </c>
      <c r="J10" s="8" t="n">
        <v>21.99</v>
      </c>
      <c r="K10" s="7" t="n">
        <v>3</v>
      </c>
      <c r="L10" s="47">
        <f>K10*J10</f>
        <v/>
      </c>
    </row>
    <row r="11">
      <c r="I11" s="10" t="inlineStr">
        <is>
          <t>Meatzza Feast</t>
        </is>
      </c>
      <c r="J11" s="8" t="n">
        <v>22.99</v>
      </c>
      <c r="K11" s="7" t="n">
        <v>3</v>
      </c>
      <c r="L11" s="47">
        <f>K11*J11</f>
        <v/>
      </c>
    </row>
    <row r="12">
      <c r="I12" s="10" t="inlineStr">
        <is>
          <t>Stuffed Cheesy Bread</t>
        </is>
      </c>
      <c r="J12" s="8" t="n">
        <v>9.99</v>
      </c>
      <c r="K12" s="7" t="n">
        <v>10</v>
      </c>
      <c r="L12" s="47">
        <f>K12*J12</f>
        <v/>
      </c>
    </row>
    <row r="17">
      <c r="A17" s="10" t="inlineStr">
        <is>
          <t>Subtotal Food</t>
        </is>
      </c>
      <c r="D17" s="24">
        <f>SUM(D7:D15)</f>
        <v/>
      </c>
      <c r="E17" s="44" t="inlineStr">
        <is>
          <t>Subtotal Food</t>
        </is>
      </c>
      <c r="H17" s="45">
        <f> Sum(H7:H15)</f>
        <v/>
      </c>
      <c r="I17" s="10" t="inlineStr">
        <is>
          <t>Subtotal Food</t>
        </is>
      </c>
      <c r="L17" s="24">
        <f>SUM(L7:L16)</f>
        <v/>
      </c>
    </row>
    <row r="18">
      <c r="E18" s="46" t="inlineStr">
        <is>
          <t>Delivery Fee</t>
        </is>
      </c>
      <c r="H18" s="47" t="n">
        <v>20</v>
      </c>
      <c r="I18" s="28" t="inlineStr">
        <is>
          <t>Delivery Fee</t>
        </is>
      </c>
      <c r="L18" s="9" t="n">
        <v>5.99</v>
      </c>
    </row>
    <row r="20">
      <c r="A20" s="10" t="inlineStr">
        <is>
          <t>Pretax Subtotal</t>
        </is>
      </c>
      <c r="D20" s="24">
        <f>SUM(D17:D19)</f>
        <v/>
      </c>
      <c r="E20" s="44" t="inlineStr">
        <is>
          <t>Pretax Subtotal</t>
        </is>
      </c>
      <c r="H20" s="45">
        <f>SUM(H17:H19)</f>
        <v/>
      </c>
      <c r="I20" s="10" t="inlineStr">
        <is>
          <t>Pretax Subtotal</t>
        </is>
      </c>
      <c r="L20" s="24">
        <f>SUM(L17:L18)</f>
        <v/>
      </c>
    </row>
    <row r="21">
      <c r="A21" s="28" t="inlineStr">
        <is>
          <t>Taxes (13%)</t>
        </is>
      </c>
      <c r="D21" s="9">
        <f>D20*0.13</f>
        <v/>
      </c>
      <c r="E21" s="49" t="inlineStr">
        <is>
          <t>Taxes (13%)</t>
        </is>
      </c>
      <c r="H21" s="47">
        <f>H20*0.13</f>
        <v/>
      </c>
      <c r="I21" s="28" t="inlineStr">
        <is>
          <t>Taxes (13%)</t>
        </is>
      </c>
      <c r="L21" s="9">
        <f>L20*0.13</f>
        <v/>
      </c>
    </row>
    <row r="22">
      <c r="A22" s="10" t="inlineStr">
        <is>
          <t>Tip (15%)</t>
        </is>
      </c>
      <c r="D22" s="24">
        <f>D20*0.15</f>
        <v/>
      </c>
      <c r="E22" s="44" t="inlineStr">
        <is>
          <t>Tip (15%)</t>
        </is>
      </c>
      <c r="H22" s="45">
        <f>H20*0.15</f>
        <v/>
      </c>
      <c r="I22" s="10" t="inlineStr">
        <is>
          <t>Tip (15%)</t>
        </is>
      </c>
      <c r="L22" s="24">
        <f>L20*0.15</f>
        <v/>
      </c>
    </row>
    <row r="23">
      <c r="A23" s="33" t="inlineStr">
        <is>
          <t>TOTAL (FOOD)</t>
        </is>
      </c>
      <c r="D23" s="75">
        <f>SUM(D20:D22)</f>
        <v/>
      </c>
      <c r="E23" s="67" t="inlineStr">
        <is>
          <t>TOTAL (FOOD)</t>
        </is>
      </c>
      <c r="H23" s="70">
        <f>SUM(H20:H22)</f>
        <v/>
      </c>
      <c r="I23" s="33" t="inlineStr">
        <is>
          <t>TOTAL (FOOD)</t>
        </is>
      </c>
      <c r="L23" s="34">
        <f>SUM(L20:L22)</f>
        <v/>
      </c>
    </row>
    <row r="26">
      <c r="A26" s="4" t="inlineStr">
        <is>
          <t>— Final Spending —</t>
        </is>
      </c>
    </row>
    <row r="28">
      <c r="A28" s="95" t="inlineStr">
        <is>
          <t>Tahini's</t>
        </is>
      </c>
      <c r="G28" s="95" t="inlineStr">
        <is>
          <t>Wanda's Pie</t>
        </is>
      </c>
      <c r="M28" s="96" t="inlineStr">
        <is>
          <t>bbq Chicken</t>
        </is>
      </c>
      <c r="Q28" s="95" t="inlineStr">
        <is>
          <t>DQ</t>
        </is>
      </c>
      <c r="U28" s="95" t="inlineStr">
        <is>
          <t>Dollarama</t>
        </is>
      </c>
    </row>
    <row r="29">
      <c r="A29" s="97" t="inlineStr">
        <is>
          <t>Item</t>
        </is>
      </c>
      <c r="B29" s="97" t="inlineStr">
        <is>
          <t>Cost price</t>
        </is>
      </c>
      <c r="C29" s="97" t="inlineStr">
        <is>
          <t>Amount</t>
        </is>
      </c>
      <c r="D29" s="97" t="inlineStr">
        <is>
          <t>Sum</t>
        </is>
      </c>
      <c r="G29" s="97" t="inlineStr">
        <is>
          <t>Item</t>
        </is>
      </c>
      <c r="H29" s="97" t="inlineStr">
        <is>
          <t>Cost price</t>
        </is>
      </c>
      <c r="I29" s="97" t="inlineStr">
        <is>
          <t>Amount</t>
        </is>
      </c>
      <c r="J29" s="97" t="inlineStr">
        <is>
          <t>Sum</t>
        </is>
      </c>
      <c r="M29" s="98" t="inlineStr">
        <is>
          <t>Item</t>
        </is>
      </c>
      <c r="N29" s="98" t="inlineStr">
        <is>
          <t>Cost price</t>
        </is>
      </c>
      <c r="O29" s="98" t="inlineStr">
        <is>
          <t>Amount</t>
        </is>
      </c>
      <c r="P29" s="98" t="inlineStr">
        <is>
          <t>Sum</t>
        </is>
      </c>
      <c r="Q29" s="97" t="inlineStr">
        <is>
          <t>Item</t>
        </is>
      </c>
      <c r="R29" s="97" t="inlineStr">
        <is>
          <t>Cost price</t>
        </is>
      </c>
      <c r="S29" s="97" t="inlineStr">
        <is>
          <t>Amount</t>
        </is>
      </c>
      <c r="T29" s="97" t="inlineStr">
        <is>
          <t>Sum</t>
        </is>
      </c>
      <c r="U29" s="97" t="inlineStr">
        <is>
          <t>Item</t>
        </is>
      </c>
      <c r="V29" s="97" t="inlineStr">
        <is>
          <t>Cost price</t>
        </is>
      </c>
      <c r="W29" s="97" t="inlineStr">
        <is>
          <t>Amount</t>
        </is>
      </c>
      <c r="X29" s="97" t="inlineStr">
        <is>
          <t>Sum</t>
        </is>
      </c>
    </row>
    <row r="30">
      <c r="A30" s="44" t="inlineStr">
        <is>
          <t>Shawarma by the Box</t>
        </is>
      </c>
      <c r="B30" s="45" t="n">
        <v>109.99</v>
      </c>
      <c r="C30" s="99" t="n">
        <v>2</v>
      </c>
      <c r="D30" s="45">
        <f>C30*B30</f>
        <v/>
      </c>
      <c r="G30" s="44" t="inlineStr">
        <is>
          <t>Assorted</t>
        </is>
      </c>
      <c r="H30" s="45" t="n">
        <v>82.40000000000001</v>
      </c>
      <c r="I30" s="99" t="n">
        <v>1</v>
      </c>
      <c r="J30" s="45">
        <f>I30*H30</f>
        <v/>
      </c>
      <c r="M30" s="44" t="inlineStr">
        <is>
          <t>Chicken</t>
        </is>
      </c>
      <c r="N30" s="45" t="n">
        <v>25</v>
      </c>
      <c r="O30" s="99" t="n">
        <v>10</v>
      </c>
      <c r="P30" s="45">
        <f>O30*N30</f>
        <v/>
      </c>
      <c r="Q30" s="44" t="inlineStr">
        <is>
          <t>Cake</t>
        </is>
      </c>
      <c r="R30" s="45" t="n">
        <v>53</v>
      </c>
      <c r="S30" s="99" t="n">
        <v>1</v>
      </c>
      <c r="T30" s="45">
        <f>S30*R30</f>
        <v/>
      </c>
      <c r="U30" s="44" t="inlineStr">
        <is>
          <t>Drinks (big bottle, sugar free preferred)</t>
        </is>
      </c>
      <c r="V30" s="45" t="n">
        <v>1.5</v>
      </c>
      <c r="W30" s="99" t="n">
        <v>25</v>
      </c>
      <c r="X30" s="45">
        <f>W30*V30</f>
        <v/>
      </c>
    </row>
    <row r="31">
      <c r="A31" s="44" t="inlineStr">
        <is>
          <t>Royal Shawarma Tray Promo</t>
        </is>
      </c>
      <c r="B31" s="45" t="n">
        <v>59.99</v>
      </c>
      <c r="C31" s="99" t="n">
        <v>1</v>
      </c>
      <c r="D31" s="45">
        <f>C31*B31</f>
        <v/>
      </c>
      <c r="J31" s="45">
        <f>I31*H31</f>
        <v/>
      </c>
      <c r="P31" s="45">
        <f>O31*N31</f>
        <v/>
      </c>
      <c r="T31" s="45">
        <f>S31*R31</f>
        <v/>
      </c>
      <c r="U31" s="44" t="inlineStr">
        <is>
          <t>Stuff</t>
        </is>
      </c>
      <c r="W31" s="99" t="n">
        <v>1</v>
      </c>
      <c r="X31" s="45">
        <f>W31*V31</f>
        <v/>
      </c>
    </row>
    <row r="32">
      <c r="C32" s="10" t="n">
        <v>0</v>
      </c>
      <c r="D32" s="45">
        <f>C32*B32</f>
        <v/>
      </c>
      <c r="I32" s="10" t="n">
        <v>0</v>
      </c>
      <c r="J32" s="45">
        <f>I32*H32</f>
        <v/>
      </c>
      <c r="O32" s="99" t="n">
        <v>0</v>
      </c>
      <c r="P32" s="45">
        <f>O32*N32</f>
        <v/>
      </c>
      <c r="S32" s="10" t="n">
        <v>0</v>
      </c>
      <c r="T32" s="45">
        <f>S32*R32</f>
        <v/>
      </c>
      <c r="W32" s="10" t="n">
        <v>0</v>
      </c>
      <c r="X32" s="45">
        <f>W32*V32</f>
        <v/>
      </c>
    </row>
    <row r="33">
      <c r="C33" s="10" t="n">
        <v>0</v>
      </c>
      <c r="D33" s="45">
        <f>C33*B33</f>
        <v/>
      </c>
      <c r="I33" s="10" t="n">
        <v>0</v>
      </c>
      <c r="J33" s="45">
        <f>I33*H33</f>
        <v/>
      </c>
      <c r="O33" s="99" t="n">
        <v>0</v>
      </c>
      <c r="P33" s="45">
        <f>O33*N33</f>
        <v/>
      </c>
      <c r="S33" s="10" t="n">
        <v>0</v>
      </c>
      <c r="T33" s="45">
        <f>S33*R33</f>
        <v/>
      </c>
      <c r="W33" s="10" t="n">
        <v>0</v>
      </c>
      <c r="X33" s="45">
        <f>W33*V33</f>
        <v/>
      </c>
    </row>
    <row r="34">
      <c r="C34" s="10" t="n">
        <v>0</v>
      </c>
      <c r="D34" s="45">
        <f>C34*B34</f>
        <v/>
      </c>
      <c r="I34" s="10" t="n">
        <v>0</v>
      </c>
      <c r="J34" s="45">
        <f>I34*H34</f>
        <v/>
      </c>
      <c r="O34" s="99" t="n">
        <v>0</v>
      </c>
      <c r="P34" s="45">
        <f>O34*N34</f>
        <v/>
      </c>
      <c r="S34" s="10" t="n">
        <v>0</v>
      </c>
      <c r="T34" s="45">
        <f>S34*R34</f>
        <v/>
      </c>
      <c r="W34" s="10" t="n">
        <v>0</v>
      </c>
      <c r="X34" s="45">
        <f>W34*V34</f>
        <v/>
      </c>
    </row>
    <row r="35">
      <c r="C35" s="10" t="n">
        <v>0</v>
      </c>
      <c r="D35" s="45">
        <f>C35*B35</f>
        <v/>
      </c>
      <c r="I35" s="10" t="n">
        <v>0</v>
      </c>
      <c r="J35" s="45">
        <f>I35*H35</f>
        <v/>
      </c>
      <c r="O35" s="99" t="n">
        <v>0</v>
      </c>
      <c r="P35" s="45">
        <f>O35*N35</f>
        <v/>
      </c>
      <c r="S35" s="10" t="n">
        <v>0</v>
      </c>
      <c r="T35" s="45">
        <f>S35*R35</f>
        <v/>
      </c>
      <c r="W35" s="10" t="n">
        <v>0</v>
      </c>
      <c r="X35" s="45">
        <f>W35*V35</f>
        <v/>
      </c>
    </row>
    <row r="40">
      <c r="A40" s="10" t="inlineStr">
        <is>
          <t>Subtotal Food</t>
        </is>
      </c>
      <c r="D40" s="24">
        <f>SUM(D30:D39)</f>
        <v/>
      </c>
      <c r="G40" s="10" t="inlineStr">
        <is>
          <t>Subtotal Food</t>
        </is>
      </c>
      <c r="J40" s="24">
        <f>SUM(J30:J39)</f>
        <v/>
      </c>
      <c r="M40" s="44" t="inlineStr">
        <is>
          <t>Subtotal Food</t>
        </is>
      </c>
      <c r="P40" s="45">
        <f>SUM(P30:P39)</f>
        <v/>
      </c>
      <c r="Q40" s="10" t="inlineStr">
        <is>
          <t>Subtotal Food</t>
        </is>
      </c>
      <c r="T40" s="24">
        <f>SUM(T30:T39)</f>
        <v/>
      </c>
      <c r="U40" s="10" t="inlineStr">
        <is>
          <t>Subtotal Food</t>
        </is>
      </c>
      <c r="X40" s="24">
        <f>SUM(X30:X39)</f>
        <v/>
      </c>
    </row>
    <row r="41">
      <c r="A41" s="100" t="inlineStr">
        <is>
          <t>Delivery Fee</t>
        </is>
      </c>
      <c r="D41" s="101" t="n">
        <v>6.55</v>
      </c>
      <c r="G41" s="100" t="inlineStr">
        <is>
          <t>Delivery Fee</t>
        </is>
      </c>
      <c r="Q41" s="100" t="inlineStr">
        <is>
          <t>Delivery Fee</t>
        </is>
      </c>
      <c r="U41" s="100" t="inlineStr">
        <is>
          <t>Delivery Fee</t>
        </is>
      </c>
    </row>
    <row r="43">
      <c r="A43" s="10" t="inlineStr">
        <is>
          <t>Pretax Subtotal</t>
        </is>
      </c>
      <c r="D43" s="24">
        <f>SUM(D40:D41)</f>
        <v/>
      </c>
      <c r="G43" s="10" t="inlineStr">
        <is>
          <t>Pretax Subtotal</t>
        </is>
      </c>
      <c r="J43" s="24">
        <f>SUM(J40:J41)</f>
        <v/>
      </c>
      <c r="M43" s="44" t="inlineStr">
        <is>
          <t>Pretax Subtotal</t>
        </is>
      </c>
      <c r="P43" s="45">
        <f>SUM(P40:P41)</f>
        <v/>
      </c>
      <c r="Q43" s="10" t="inlineStr">
        <is>
          <t>Pretax Subtotal</t>
        </is>
      </c>
      <c r="T43" s="24">
        <f>SUM(T40:T41)</f>
        <v/>
      </c>
      <c r="U43" s="10" t="inlineStr">
        <is>
          <t>Pretax Subtotal</t>
        </is>
      </c>
      <c r="X43" s="24">
        <f>SUM(X40:X41)</f>
        <v/>
      </c>
    </row>
    <row r="44">
      <c r="A44" s="100" t="inlineStr">
        <is>
          <t>Taxes (13%)</t>
        </is>
      </c>
      <c r="D44" s="24">
        <f>D43*0.13</f>
        <v/>
      </c>
      <c r="G44" s="100" t="inlineStr">
        <is>
          <t>Taxes (13%)</t>
        </is>
      </c>
      <c r="J44" s="101">
        <f>J43*0.13</f>
        <v/>
      </c>
      <c r="M44" s="44" t="inlineStr">
        <is>
          <t>Taxes (13%)</t>
        </is>
      </c>
      <c r="P44" s="45">
        <f>P43*0.13</f>
        <v/>
      </c>
      <c r="Q44" s="100" t="inlineStr">
        <is>
          <t>Taxes (13%)</t>
        </is>
      </c>
      <c r="T44" s="101">
        <f>T43*0.13</f>
        <v/>
      </c>
      <c r="U44" s="100" t="inlineStr">
        <is>
          <t>Taxes (13%)</t>
        </is>
      </c>
      <c r="X44" s="101">
        <f>X43*0.13</f>
        <v/>
      </c>
    </row>
    <row r="45">
      <c r="A45" s="10" t="inlineStr">
        <is>
          <t>Tip (15%)</t>
        </is>
      </c>
      <c r="D45" s="24">
        <f>D43*0.15</f>
        <v/>
      </c>
      <c r="G45" s="10" t="inlineStr">
        <is>
          <t>Tip (15%)</t>
        </is>
      </c>
      <c r="J45" s="24">
        <f>J43*0.15</f>
        <v/>
      </c>
      <c r="U45" s="10" t="inlineStr">
        <is>
          <t>Tip (15%)</t>
        </is>
      </c>
      <c r="X45" s="24">
        <f>X43*0.15</f>
        <v/>
      </c>
    </row>
    <row r="46">
      <c r="A46" s="102" t="inlineStr">
        <is>
          <t>TOTAL (FOOD)</t>
        </is>
      </c>
      <c r="D46" s="103">
        <f>SUM(D43:D45)</f>
        <v/>
      </c>
      <c r="G46" s="102" t="inlineStr">
        <is>
          <t>TOTAL (FOOD)</t>
        </is>
      </c>
      <c r="J46" s="103">
        <f>SUM(J43:J45)</f>
        <v/>
      </c>
      <c r="M46" s="96" t="inlineStr">
        <is>
          <t>TOTAL (FOOD)</t>
        </is>
      </c>
      <c r="P46" s="104">
        <f>SUM(P43:P45)</f>
        <v/>
      </c>
      <c r="Q46" s="102" t="inlineStr">
        <is>
          <t>TOTAL (FOOD)</t>
        </is>
      </c>
      <c r="T46" s="103" t="n">
        <v>49</v>
      </c>
      <c r="U46" s="102" t="inlineStr">
        <is>
          <t>TOTAL (FOOD)</t>
        </is>
      </c>
      <c r="X46" s="103" t="n">
        <v>35</v>
      </c>
      <c r="Z46" s="105">
        <f>SUM(T46,P46,J46,X46,D46)</f>
        <v/>
      </c>
    </row>
    <row r="48">
      <c r="U48" s="22" t="inlineStr">
        <is>
          <t>Supplies: Cups plates napkins utensils -- i have enough of everything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2.25" customWidth="1" min="12" max="12"/>
    <col width="16" customWidth="1" min="13" max="13"/>
    <col width="16" customWidth="1" min="14" max="14"/>
    <col width="13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Interview Prep Night (Nov 7 2025)</t>
        </is>
      </c>
    </row>
    <row r="3">
      <c r="A3" s="4" t="inlineStr">
        <is>
          <t>— Overall —</t>
        </is>
      </c>
    </row>
    <row r="5">
      <c r="A5" s="106" t="inlineStr">
        <is>
          <t>Claim Item</t>
        </is>
      </c>
      <c r="B5" s="106" t="inlineStr">
        <is>
          <t>Cost</t>
        </is>
      </c>
      <c r="C5" s="106" t="inlineStr">
        <is>
          <t>Paid By</t>
        </is>
      </c>
      <c r="D5" s="106" t="inlineStr">
        <is>
          <t>Receipt</t>
        </is>
      </c>
      <c r="E5" s="106" t="inlineStr">
        <is>
          <t>Status of Claim</t>
        </is>
      </c>
      <c r="F5" s="106" t="inlineStr">
        <is>
          <t>Remarks</t>
        </is>
      </c>
    </row>
    <row r="6">
      <c r="A6" s="44" t="inlineStr">
        <is>
          <t>Food</t>
        </is>
      </c>
      <c r="B6" s="48" t="n">
        <v>869.12</v>
      </c>
    </row>
    <row r="7">
      <c r="A7" s="44" t="inlineStr">
        <is>
          <t>Uber</t>
        </is>
      </c>
      <c r="B7" s="48" t="inlineStr">
        <is>
          <t>~10</t>
        </is>
      </c>
    </row>
    <row r="8">
      <c r="A8" s="49" t="inlineStr">
        <is>
          <t>Uber</t>
        </is>
      </c>
      <c r="B8" s="48" t="inlineStr">
        <is>
          <t>~10</t>
        </is>
      </c>
    </row>
    <row r="9">
      <c r="A9" s="49" t="inlineStr">
        <is>
          <t>Forks spoons knives; cups plates</t>
        </is>
      </c>
      <c r="B9" s="48" t="inlineStr">
        <is>
          <t>~$65</t>
        </is>
      </c>
    </row>
    <row r="11">
      <c r="A11" s="22" t="inlineStr">
        <is>
          <t>Total</t>
        </is>
      </c>
    </row>
    <row r="13">
      <c r="A13" s="30" t="inlineStr">
        <is>
          <t>Restaurants</t>
        </is>
      </c>
    </row>
    <row r="14">
      <c r="A14" s="22" t="inlineStr">
        <is>
          <t>Rasa Malaysia</t>
        </is>
      </c>
    </row>
    <row r="15">
      <c r="A15" s="22" t="inlineStr">
        <is>
          <t>Hawkers</t>
        </is>
      </c>
    </row>
    <row r="16">
      <c r="A16" s="22" t="inlineStr">
        <is>
          <t>Hong Kong</t>
        </is>
      </c>
    </row>
    <row r="17">
      <c r="A17" s="22" t="inlineStr">
        <is>
          <t>Shanghai</t>
        </is>
      </c>
    </row>
    <row r="18">
      <c r="A18" s="22" t="inlineStr">
        <is>
          <t>Grand Asia Market</t>
        </is>
      </c>
    </row>
    <row r="19">
      <c r="A19" s="22" t="inlineStr">
        <is>
          <t>Acacia Tree</t>
        </is>
      </c>
    </row>
    <row r="20">
      <c r="A20" s="22" t="inlineStr">
        <is>
          <t>Happy China</t>
        </is>
      </c>
    </row>
    <row r="21">
      <c r="A21" s="22" t="inlineStr">
        <is>
          <t>Shanghai Alley</t>
        </is>
      </c>
    </row>
    <row r="24">
      <c r="A24" s="4" t="inlineStr">
        <is>
          <t>— Food —</t>
        </is>
      </c>
    </row>
    <row r="27">
      <c r="B27" s="71" t="inlineStr">
        <is>
          <t>Canteen (order via Uber)</t>
        </is>
      </c>
      <c r="C27" s="49" t="inlineStr">
        <is>
          <t>Catering for 30-40pax; non alcoholic drinks also provided with more cups so that total event attendance can go up to 80</t>
        </is>
      </c>
      <c r="D27" s="82" t="inlineStr">
        <is>
          <t>Note: Canteen only has meals per pax, no dishes</t>
        </is>
      </c>
      <c r="G27" s="71" t="inlineStr">
        <is>
          <t>House of Gourmet via Uber</t>
        </is>
      </c>
      <c r="H27" s="49" t="inlineStr">
        <is>
          <t>Approach: 2 carb 2 meat 1 veg 2 app, incl veggie options for carb, app</t>
        </is>
      </c>
      <c r="I27" s="49" t="inlineStr">
        <is>
          <t>Catering for 30-40pax; non alcoholic drinks also provided with more cups so that total event attendance can go up to 80</t>
        </is>
      </c>
      <c r="N27" s="49" t="inlineStr">
        <is>
          <t>Served in medium trays about 5 servings</t>
        </is>
      </c>
      <c r="O27" s="49" t="inlineStr">
        <is>
          <t>Catering for 30-40pax; non alcoholic drinks also provided with more cups so that total event attendance can go up to 80</t>
        </is>
      </c>
    </row>
    <row r="28">
      <c r="B28" s="36" t="inlineStr">
        <is>
          <t>Item</t>
        </is>
      </c>
      <c r="C28" s="36" t="inlineStr">
        <is>
          <t>Sum</t>
        </is>
      </c>
      <c r="D28" s="36" t="inlineStr">
        <is>
          <t>Amount</t>
        </is>
      </c>
      <c r="E28" s="36" t="inlineStr">
        <is>
          <t>Cost price</t>
        </is>
      </c>
      <c r="G28" s="36" t="inlineStr">
        <is>
          <t>Item</t>
        </is>
      </c>
      <c r="H28" s="36" t="inlineStr">
        <is>
          <t>Sum</t>
        </is>
      </c>
      <c r="I28" s="36" t="inlineStr">
        <is>
          <t>Amount</t>
        </is>
      </c>
      <c r="J28" s="36" t="inlineStr">
        <is>
          <t>Cost price</t>
        </is>
      </c>
      <c r="L28" s="107" t="inlineStr">
        <is>
          <t>Item</t>
        </is>
      </c>
      <c r="M28" s="107" t="inlineStr">
        <is>
          <t>Sum</t>
        </is>
      </c>
      <c r="N28" s="107" t="inlineStr">
        <is>
          <t>Amount</t>
        </is>
      </c>
      <c r="O28" s="107" t="inlineStr">
        <is>
          <t>Cost price</t>
        </is>
      </c>
      <c r="Q28" s="108" t="inlineStr">
        <is>
          <t>Item</t>
        </is>
      </c>
      <c r="R28" s="108" t="inlineStr">
        <is>
          <t>Sum</t>
        </is>
      </c>
      <c r="S28" s="108" t="inlineStr">
        <is>
          <t>Amount</t>
        </is>
      </c>
      <c r="T28" s="108" t="inlineStr">
        <is>
          <t>Cost price</t>
        </is>
      </c>
    </row>
    <row r="29">
      <c r="B29" s="49" t="inlineStr">
        <is>
          <t>Hainanese Chicken on Rice</t>
        </is>
      </c>
      <c r="C29" s="47">
        <f>D29*E29</f>
        <v/>
      </c>
      <c r="D29" s="49" t="n">
        <v>5</v>
      </c>
      <c r="E29" s="109" t="n">
        <v>17</v>
      </c>
      <c r="G29" s="49" t="inlineStr">
        <is>
          <t>Fried Noodle with Bean Sprout 芽菜仔炒麵</t>
        </is>
      </c>
      <c r="H29" s="47">
        <f>I29*J29</f>
        <v/>
      </c>
      <c r="I29" s="49" t="n">
        <v>5</v>
      </c>
      <c r="J29" s="109" t="n">
        <v>16.99</v>
      </c>
      <c r="L29" s="49" t="inlineStr">
        <is>
          <t xml:space="preserve">Shrimp Fried Rice </t>
        </is>
      </c>
      <c r="M29" s="109">
        <f>N29*O29</f>
        <v/>
      </c>
      <c r="N29" s="68" t="n">
        <v>5</v>
      </c>
      <c r="O29" s="109" t="n">
        <v>16.99</v>
      </c>
      <c r="Q29" s="110" t="inlineStr">
        <is>
          <t>EGG Fried Rice VEGETARIAN 鸡蛋炒饭</t>
        </is>
      </c>
      <c r="R29" s="111">
        <f>S29*T29</f>
        <v/>
      </c>
      <c r="S29" s="110" t="n">
        <v>10</v>
      </c>
      <c r="T29" s="111" t="n">
        <v>15.99</v>
      </c>
    </row>
    <row r="30">
      <c r="B30" s="49" t="inlineStr">
        <is>
          <t>Nasi Lemak</t>
        </is>
      </c>
      <c r="C30" s="47">
        <f>D30*E30</f>
        <v/>
      </c>
      <c r="D30" s="49" t="n">
        <v>5</v>
      </c>
      <c r="E30" s="109" t="n">
        <v>17</v>
      </c>
      <c r="G30" s="49" t="inlineStr">
        <is>
          <t>Chicken Fried Rice 雞粒炒飯</t>
        </is>
      </c>
      <c r="H30" s="47">
        <f>I30*J30</f>
        <v/>
      </c>
      <c r="I30" s="49" t="n">
        <v>5</v>
      </c>
      <c r="J30" s="109" t="n">
        <v>17.5</v>
      </c>
      <c r="L30" s="49" t="inlineStr">
        <is>
          <t>Noodles with Soybean Paste</t>
        </is>
      </c>
      <c r="M30" s="109">
        <f>N30*O30</f>
        <v/>
      </c>
      <c r="N30" s="68" t="n">
        <v>5</v>
      </c>
      <c r="O30" s="109" t="n">
        <v>15.99</v>
      </c>
      <c r="Q30" s="110" t="inlineStr">
        <is>
          <t>Stir-fried Flat Rice Noodles with Beef 干炒牛河</t>
        </is>
      </c>
      <c r="R30" s="111">
        <f>S30*T30</f>
        <v/>
      </c>
      <c r="S30" s="110" t="n">
        <v>5</v>
      </c>
      <c r="T30" s="111" t="n">
        <v>18.99</v>
      </c>
    </row>
    <row r="31">
      <c r="B31" s="69" t="inlineStr">
        <is>
          <t>Baked Spaghetti with Minced Beef &amp; Cheese</t>
        </is>
      </c>
      <c r="C31" s="47">
        <f>D31*E31</f>
        <v/>
      </c>
      <c r="D31" s="49" t="n">
        <v>5</v>
      </c>
      <c r="E31" s="109" t="n">
        <v>15</v>
      </c>
      <c r="G31" s="69" t="inlineStr">
        <is>
          <t>Sliced Beef with Black Bean Sauce 豉椒牛肉</t>
        </is>
      </c>
      <c r="H31" s="47">
        <f>I31*J31</f>
        <v/>
      </c>
      <c r="I31" s="49" t="n">
        <v>5</v>
      </c>
      <c r="J31" s="109" t="n">
        <v>18.99</v>
      </c>
      <c r="L31" s="69" t="inlineStr">
        <is>
          <t>Crispy Sweet &amp; Sour Pork</t>
        </is>
      </c>
      <c r="M31" s="109">
        <f>N31*O31</f>
        <v/>
      </c>
      <c r="N31" s="68" t="n">
        <v>5</v>
      </c>
      <c r="O31" s="109" t="n">
        <v>22.99</v>
      </c>
      <c r="Q31" s="110" t="inlineStr">
        <is>
          <t>Kung Pao Chicken Spicy Stir Fry Peanut 宫保鸡丁</t>
        </is>
      </c>
      <c r="R31" s="111">
        <f>S31*T31</f>
        <v/>
      </c>
      <c r="S31" s="110" t="n">
        <v>5</v>
      </c>
      <c r="T31" s="111" t="n">
        <v>17.99</v>
      </c>
    </row>
    <row r="32">
      <c r="B32" s="49" t="inlineStr">
        <is>
          <t>Malaysian Stur Fried Hokkien Noodles</t>
        </is>
      </c>
      <c r="C32" s="47">
        <f>D32*E32</f>
        <v/>
      </c>
      <c r="D32" s="49" t="n">
        <v>5</v>
      </c>
      <c r="E32" s="109" t="n">
        <v>17</v>
      </c>
      <c r="G32" s="49" t="inlineStr">
        <is>
          <t>Sweet and Sour Pork with Pineapple 菠蘿咕嚕肉</t>
        </is>
      </c>
      <c r="H32" s="47">
        <f>I32*J32</f>
        <v/>
      </c>
      <c r="I32" s="49" t="n">
        <v>5</v>
      </c>
      <c r="J32" s="109" t="n">
        <v>18.5</v>
      </c>
      <c r="L32" s="49" t="inlineStr">
        <is>
          <t>Stir-Fried Beef with Bell Peppers</t>
        </is>
      </c>
      <c r="M32" s="109">
        <f>N32*O32</f>
        <v/>
      </c>
      <c r="N32" s="68" t="n">
        <v>5</v>
      </c>
      <c r="O32" s="109" t="n">
        <v>23.99</v>
      </c>
      <c r="Q32" s="110" t="inlineStr">
        <is>
          <t>Crispy Sweet &amp; Sour Pork 锅包肉</t>
        </is>
      </c>
      <c r="R32" s="111">
        <f>S32*T32</f>
        <v/>
      </c>
      <c r="S32" s="110" t="n">
        <v>5</v>
      </c>
      <c r="T32" s="111" t="n">
        <v>22.99</v>
      </c>
    </row>
    <row r="33">
      <c r="B33" s="49" t="inlineStr">
        <is>
          <t>Baked Fish with Spinach &amp; Bacon in Cream Sauce &amp; Cheese on Rice</t>
        </is>
      </c>
      <c r="C33" s="47">
        <f>D33*E33</f>
        <v/>
      </c>
      <c r="D33" s="49" t="n">
        <v>5</v>
      </c>
      <c r="E33" s="109" t="n">
        <v>17</v>
      </c>
      <c r="G33" s="49" t="inlineStr">
        <is>
          <t>Deep-Fried Bean Curd with Broccoli and Black Mushroom 紅燒豆腐</t>
        </is>
      </c>
      <c r="H33" s="47">
        <f>I33*J33</f>
        <v/>
      </c>
      <c r="I33" s="49" t="n">
        <v>5</v>
      </c>
      <c r="J33" s="109" t="n">
        <v>17.99</v>
      </c>
      <c r="L33" s="49" t="inlineStr">
        <is>
          <t>Tomato &amp; Egg Stir Fry</t>
        </is>
      </c>
      <c r="M33" s="109">
        <f>N33*O33</f>
        <v/>
      </c>
      <c r="N33" s="68" t="n">
        <v>5</v>
      </c>
      <c r="O33" s="109" t="n">
        <v>14.99</v>
      </c>
      <c r="Q33" s="110" t="inlineStr">
        <is>
          <t>Stir-Fried Beef with Bell Peppers 铁板黑椒五彩牛肉爱</t>
        </is>
      </c>
      <c r="R33" s="111">
        <f>S33*T33</f>
        <v/>
      </c>
      <c r="S33" s="110" t="n">
        <v>5</v>
      </c>
      <c r="T33" s="111" t="n">
        <v>23.99</v>
      </c>
    </row>
    <row r="34">
      <c r="B34" s="49" t="inlineStr">
        <is>
          <t>Baked Spaghetti with Ham, Chicken &amp; Cheese in Tomato Sauce</t>
        </is>
      </c>
      <c r="C34" s="47">
        <f>D34*E34</f>
        <v/>
      </c>
      <c r="D34" s="49" t="n">
        <v>5</v>
      </c>
      <c r="E34" s="109" t="n">
        <v>15</v>
      </c>
      <c r="F34" s="49" t="inlineStr">
        <is>
          <t>Note: To ask for this to be vegetarian</t>
        </is>
      </c>
      <c r="G34" s="49" t="inlineStr">
        <is>
          <t>Vegetarian Egg Roll 素蛋卷 x1</t>
        </is>
      </c>
      <c r="H34" s="47">
        <f>I34*J34</f>
        <v/>
      </c>
      <c r="I34" s="49" t="n">
        <v>30</v>
      </c>
      <c r="J34" s="109" t="n">
        <v>3.5</v>
      </c>
      <c r="L34" s="49" t="inlineStr">
        <is>
          <t>Braised Shiitake Mushrooms</t>
        </is>
      </c>
      <c r="M34" s="109">
        <f>N34*O34</f>
        <v/>
      </c>
      <c r="N34" s="68" t="n">
        <v>5</v>
      </c>
      <c r="O34" s="109" t="n">
        <v>19.99</v>
      </c>
      <c r="Q34" s="110" t="inlineStr">
        <is>
          <t>Home style tofu 家常豆腐 VEGE PLEASE</t>
        </is>
      </c>
      <c r="R34" s="111">
        <f>S34*T34</f>
        <v/>
      </c>
      <c r="S34" s="110" t="n">
        <v>5</v>
      </c>
      <c r="T34" s="111" t="n">
        <v>14.99</v>
      </c>
    </row>
    <row r="35">
      <c r="B35" s="49" t="inlineStr">
        <is>
          <t>Honey Garlic Wings with Fries (8pc)</t>
        </is>
      </c>
      <c r="C35" s="47">
        <f>D35*E35</f>
        <v/>
      </c>
      <c r="D35" s="49" t="n">
        <v>5</v>
      </c>
      <c r="E35" s="109" t="n">
        <v>14</v>
      </c>
      <c r="G35" s="44" t="inlineStr">
        <is>
          <t>Deep-Fried Breaded Jumbo Shrimp 脆皮炸明蝦</t>
        </is>
      </c>
      <c r="H35" s="47">
        <f>I35*J35</f>
        <v/>
      </c>
      <c r="I35" s="49" t="n">
        <v>5</v>
      </c>
      <c r="J35" s="109" t="n">
        <v>14.5</v>
      </c>
      <c r="L35" s="44" t="inlineStr">
        <is>
          <t>Chinese Broccoli</t>
        </is>
      </c>
      <c r="M35" s="109">
        <f>N35*O35</f>
        <v/>
      </c>
      <c r="N35" s="68" t="n">
        <v>5</v>
      </c>
      <c r="O35" s="109" t="n">
        <v>15.99</v>
      </c>
      <c r="Q35" s="110" t="inlineStr">
        <is>
          <t>Tomato &amp; Egg Stir Fry 番茄鸡蛋</t>
        </is>
      </c>
      <c r="R35" s="111">
        <f>S35*T35</f>
        <v/>
      </c>
      <c r="S35" s="110" t="n">
        <v>5</v>
      </c>
      <c r="T35" s="111" t="n">
        <v>14.99</v>
      </c>
    </row>
    <row r="36">
      <c r="B36" s="49" t="inlineStr">
        <is>
          <t>Deep Fried Chicken Wings with Fries (8pcs)</t>
        </is>
      </c>
      <c r="C36" s="47">
        <f>D36*E36</f>
        <v/>
      </c>
      <c r="D36" s="49" t="n">
        <v>5</v>
      </c>
      <c r="E36" s="109" t="n">
        <v>14</v>
      </c>
      <c r="L36" s="44" t="inlineStr">
        <is>
          <t>Spicy Stir-Fry with Peanuts</t>
        </is>
      </c>
      <c r="M36" s="109">
        <f>N36*O36</f>
        <v/>
      </c>
      <c r="N36" s="44" t="n">
        <v>5</v>
      </c>
      <c r="O36" s="48" t="n">
        <v>17.99</v>
      </c>
      <c r="Q36" s="110" t="inlineStr">
        <is>
          <t>Braised Shiitake Mushrooms 皇烧香菇</t>
        </is>
      </c>
      <c r="R36" s="111">
        <f>S36*T36</f>
        <v/>
      </c>
      <c r="S36" s="110" t="n">
        <v>5</v>
      </c>
      <c r="T36" s="111" t="n">
        <v>19.99</v>
      </c>
    </row>
    <row r="37">
      <c r="B37" s="44" t="inlineStr">
        <is>
          <t>Onion Rings</t>
        </is>
      </c>
      <c r="C37" s="47">
        <f>D37*E37</f>
        <v/>
      </c>
      <c r="D37" s="49" t="n">
        <v>5</v>
      </c>
      <c r="E37" s="109" t="n">
        <v>7.5</v>
      </c>
      <c r="Q37" s="112" t="inlineStr">
        <is>
          <t>VEGE</t>
        </is>
      </c>
      <c r="R37" s="111">
        <f>S37*T37</f>
        <v/>
      </c>
      <c r="S37" s="110" t="n">
        <v>5</v>
      </c>
      <c r="T37" s="111" t="n">
        <v>17.99</v>
      </c>
    </row>
    <row r="38">
      <c r="L38" s="44" t="inlineStr">
        <is>
          <t>Subtotal Food</t>
        </is>
      </c>
      <c r="M38" s="45">
        <f> Sum(M29:M36)</f>
        <v/>
      </c>
    </row>
    <row r="39">
      <c r="B39" s="22" t="inlineStr">
        <is>
          <t>Subtotal Food</t>
        </is>
      </c>
      <c r="C39" s="23">
        <f> Sum(C29:C37)</f>
        <v/>
      </c>
      <c r="G39" s="22" t="inlineStr">
        <is>
          <t>Subtotal Food</t>
        </is>
      </c>
      <c r="H39" s="23">
        <f> Sum(H29:H38)</f>
        <v/>
      </c>
      <c r="L39" s="22" t="inlineStr">
        <is>
          <t>DISCOUNT 20% OFF</t>
        </is>
      </c>
      <c r="M39" s="23">
        <f>-0.2*M38</f>
        <v/>
      </c>
    </row>
    <row r="40">
      <c r="B40" s="113" t="inlineStr">
        <is>
          <t>Delivery Fee</t>
        </is>
      </c>
      <c r="C40" s="47">
        <f>D40*E40</f>
        <v/>
      </c>
      <c r="D40" s="49" t="n">
        <v>1</v>
      </c>
      <c r="E40" s="109" t="n">
        <v>6.49</v>
      </c>
      <c r="F40" s="49" t="inlineStr">
        <is>
          <t>According to Uber App</t>
        </is>
      </c>
      <c r="G40" s="113" t="inlineStr">
        <is>
          <t>Delivery Fee</t>
        </is>
      </c>
      <c r="H40" s="47" t="n">
        <v>6.49</v>
      </c>
      <c r="K40" s="49" t="inlineStr">
        <is>
          <t>According to Uber App</t>
        </is>
      </c>
      <c r="L40" s="46" t="inlineStr">
        <is>
          <t>Delivery Fee</t>
        </is>
      </c>
      <c r="M40" s="47" t="n">
        <v>0</v>
      </c>
      <c r="Q40" s="44" t="inlineStr">
        <is>
          <t>Subtotal Food</t>
        </is>
      </c>
      <c r="R40" s="45">
        <f> Sum(R29:R38)</f>
        <v/>
      </c>
    </row>
    <row r="41">
      <c r="B41" s="114" t="inlineStr">
        <is>
          <t>Service Fee</t>
        </is>
      </c>
      <c r="C41" s="47" t="n">
        <v>6.5</v>
      </c>
      <c r="G41" s="114" t="inlineStr">
        <is>
          <t>Service Fee</t>
        </is>
      </c>
      <c r="H41" s="47" t="n">
        <v>6.5</v>
      </c>
      <c r="L41" s="49" t="inlineStr">
        <is>
          <t>Service Fee</t>
        </is>
      </c>
      <c r="M41" s="47" t="n">
        <v>0</v>
      </c>
      <c r="Q41" s="44" t="inlineStr">
        <is>
          <t>DISCOUNT 20% OFF</t>
        </is>
      </c>
      <c r="R41" s="45">
        <f>-0.2*R40</f>
        <v/>
      </c>
    </row>
    <row r="42">
      <c r="B42" s="22" t="inlineStr">
        <is>
          <t>Pretax Subtotal</t>
        </is>
      </c>
      <c r="C42" s="23">
        <f>SUM(C39:C41)</f>
        <v/>
      </c>
      <c r="G42" s="22" t="inlineStr">
        <is>
          <t>Pretax</t>
        </is>
      </c>
      <c r="H42" s="23">
        <f>SUM(H39:H41)</f>
        <v/>
      </c>
      <c r="L42" s="44" t="inlineStr">
        <is>
          <t>Pretax</t>
        </is>
      </c>
      <c r="M42" s="45">
        <f>SUM(M38:M41)</f>
        <v/>
      </c>
      <c r="Q42" s="46" t="inlineStr">
        <is>
          <t>Delivery Fee</t>
        </is>
      </c>
      <c r="R42" s="47" t="n">
        <v>0</v>
      </c>
    </row>
    <row r="43">
      <c r="B43" s="114" t="inlineStr">
        <is>
          <t>Taxes (13%)</t>
        </is>
      </c>
      <c r="C43" s="47">
        <f>C42*0.13</f>
        <v/>
      </c>
      <c r="G43" s="114" t="inlineStr">
        <is>
          <t>Taxes (13%)</t>
        </is>
      </c>
      <c r="H43" s="47">
        <f>H42*0.13</f>
        <v/>
      </c>
      <c r="L43" s="49" t="inlineStr">
        <is>
          <t>Taxes (13%)</t>
        </is>
      </c>
      <c r="M43" s="47">
        <f>M42*0.13</f>
        <v/>
      </c>
      <c r="O43" s="44" t="inlineStr">
        <is>
          <t>Total paid in CASH to restaurant is $673.12</t>
        </is>
      </c>
      <c r="Q43" s="49" t="inlineStr">
        <is>
          <t>Service Fee</t>
        </is>
      </c>
      <c r="R43" s="47" t="n">
        <v>0</v>
      </c>
    </row>
    <row r="44">
      <c r="B44" s="22" t="inlineStr">
        <is>
          <t>Tip (15%)</t>
        </is>
      </c>
      <c r="C44" s="23">
        <f>C42*0.15</f>
        <v/>
      </c>
      <c r="G44" s="22" t="inlineStr">
        <is>
          <t>Tip (15%)</t>
        </is>
      </c>
      <c r="H44" s="23">
        <f>H42*0.15</f>
        <v/>
      </c>
      <c r="L44" s="44" t="inlineStr">
        <is>
          <t>Tip (15%)</t>
        </is>
      </c>
      <c r="M44" s="45">
        <f>M42*0.15</f>
        <v/>
      </c>
      <c r="O44" s="44" t="inlineStr">
        <is>
          <t>Paid to delivery driver separately</t>
        </is>
      </c>
      <c r="Q44" s="44" t="inlineStr">
        <is>
          <t>Pretax</t>
        </is>
      </c>
      <c r="R44" s="45">
        <f>SUM(R40:R43)</f>
        <v/>
      </c>
    </row>
    <row r="45">
      <c r="B45" s="67" t="inlineStr">
        <is>
          <t>TOTAL (FOOD)</t>
        </is>
      </c>
      <c r="C45" s="70">
        <f>SUM(C42:C44)</f>
        <v/>
      </c>
      <c r="G45" s="67" t="inlineStr">
        <is>
          <t>TOTAL (FOOD)</t>
        </is>
      </c>
      <c r="H45" s="70">
        <f>SUM(H42:H44)</f>
        <v/>
      </c>
      <c r="L45" s="67" t="inlineStr">
        <is>
          <t>TOTAL (FOOD)</t>
        </is>
      </c>
      <c r="M45" s="70">
        <f>SUM(M42:M44)</f>
        <v/>
      </c>
      <c r="Q45" s="49" t="inlineStr">
        <is>
          <t>Taxes (13%)</t>
        </is>
      </c>
      <c r="R45" s="47">
        <f>R44*0.13</f>
        <v/>
      </c>
      <c r="T45" s="44" t="inlineStr">
        <is>
          <t>Total pay in cash to restaurant??</t>
        </is>
      </c>
    </row>
    <row r="46">
      <c r="B46" s="115" t="inlineStr">
        <is>
          <t>Walmart Coke + Apple Juice</t>
        </is>
      </c>
      <c r="C46" s="109">
        <f>D46*E46</f>
        <v/>
      </c>
      <c r="D46" s="49" t="n">
        <v>3</v>
      </c>
      <c r="E46" s="109" t="n">
        <v>3</v>
      </c>
      <c r="G46" s="115" t="inlineStr">
        <is>
          <t>Walmart Coke + Apple Juice</t>
        </is>
      </c>
      <c r="H46" s="109">
        <f>I46*J46</f>
        <v/>
      </c>
      <c r="I46" s="49" t="n">
        <v>3</v>
      </c>
      <c r="J46" s="109" t="n">
        <v>3</v>
      </c>
      <c r="L46" s="115" t="inlineStr">
        <is>
          <t>Walmart Coke + Apple Juice</t>
        </is>
      </c>
      <c r="M46" s="109">
        <f>N46*O46</f>
        <v/>
      </c>
      <c r="N46" s="49" t="n">
        <v>3</v>
      </c>
      <c r="O46" s="109" t="n">
        <v>3</v>
      </c>
      <c r="Q46" s="44" t="inlineStr">
        <is>
          <t>Tip (15%)</t>
        </is>
      </c>
      <c r="R46" s="45" t="inlineStr">
        <is>
          <t>?</t>
        </is>
      </c>
      <c r="T46" s="44" t="inlineStr">
        <is>
          <t>Paid to delivery driver separately</t>
        </is>
      </c>
    </row>
    <row r="47">
      <c r="B47" s="115" t="inlineStr">
        <is>
          <t>cups  for 80</t>
        </is>
      </c>
      <c r="C47" s="49" t="n">
        <v>14.99</v>
      </c>
      <c r="G47" s="115" t="inlineStr">
        <is>
          <t>cups  for 80</t>
        </is>
      </c>
      <c r="H47" s="49" t="n">
        <v>14.99</v>
      </c>
      <c r="L47" s="115" t="inlineStr">
        <is>
          <t>cups  for 80</t>
        </is>
      </c>
      <c r="M47" s="68" t="n">
        <v>14.99</v>
      </c>
      <c r="Q47" s="67" t="inlineStr">
        <is>
          <t>TOTAL (FOOD)</t>
        </is>
      </c>
      <c r="R47" s="70">
        <f>SUM(R44:R46)</f>
        <v/>
      </c>
    </row>
    <row r="48">
      <c r="B48" s="116" t="inlineStr">
        <is>
          <t>Cutlery for 30-40</t>
        </is>
      </c>
      <c r="C48" s="49" t="n">
        <v>17</v>
      </c>
      <c r="G48" s="116" t="inlineStr">
        <is>
          <t>Cutlery for 30-40</t>
        </is>
      </c>
      <c r="H48" s="49" t="n">
        <v>17</v>
      </c>
      <c r="L48" s="117" t="inlineStr">
        <is>
          <t>Cutlery for 30-40</t>
        </is>
      </c>
      <c r="M48" s="68" t="n">
        <v>17</v>
      </c>
      <c r="Q48" s="118" t="inlineStr">
        <is>
          <t>Walmart Coke + Apple Juice</t>
        </is>
      </c>
      <c r="R48" s="47">
        <f>S48*T48</f>
        <v/>
      </c>
      <c r="S48" s="68" t="n">
        <v>3</v>
      </c>
      <c r="T48" s="47" t="n">
        <v>3</v>
      </c>
    </row>
    <row r="49">
      <c r="B49" s="115" t="inlineStr">
        <is>
          <t>disposable plates for 100</t>
        </is>
      </c>
      <c r="C49" s="49" t="n">
        <v>13.99</v>
      </c>
      <c r="G49" s="115" t="inlineStr">
        <is>
          <t>disposable plates for 100</t>
        </is>
      </c>
      <c r="H49" s="49" t="n">
        <v>13.99</v>
      </c>
      <c r="L49" s="115" t="inlineStr">
        <is>
          <t>disposable plates for 100</t>
        </is>
      </c>
      <c r="M49" s="68" t="n">
        <v>13.99</v>
      </c>
      <c r="Q49" s="118" t="inlineStr">
        <is>
          <t>cups  for 80</t>
        </is>
      </c>
      <c r="R49" s="68" t="n">
        <v>14.99</v>
      </c>
    </row>
    <row r="50">
      <c r="B50" s="72" t="inlineStr">
        <is>
          <t>Subtotal (Misc)</t>
        </is>
      </c>
      <c r="C50" s="119">
        <f>SUM(C46:C49)</f>
        <v/>
      </c>
      <c r="G50" s="72" t="inlineStr">
        <is>
          <t>Subtotal (Misc)</t>
        </is>
      </c>
      <c r="H50" s="119">
        <f>SUM(H46:H49)</f>
        <v/>
      </c>
      <c r="L50" s="72" t="inlineStr">
        <is>
          <t>Subtotal (Misc)</t>
        </is>
      </c>
      <c r="M50" s="119">
        <f>SUM(M46:M49)</f>
        <v/>
      </c>
      <c r="Q50" s="120" t="inlineStr">
        <is>
          <t>Cutlery for 30-40</t>
        </is>
      </c>
      <c r="R50" s="68" t="n">
        <v>17</v>
      </c>
    </row>
    <row r="51">
      <c r="B51" s="30" t="inlineStr">
        <is>
          <t>Taxes (13%)</t>
        </is>
      </c>
      <c r="C51" s="23">
        <f>0.13*C50</f>
        <v/>
      </c>
      <c r="G51" s="30" t="inlineStr">
        <is>
          <t>Taxes (13%)</t>
        </is>
      </c>
      <c r="H51" s="23">
        <f>0.13*H50</f>
        <v/>
      </c>
      <c r="L51" s="30" t="inlineStr">
        <is>
          <t>Taxes (13%)</t>
        </is>
      </c>
      <c r="M51" s="23">
        <f>0.13*M50</f>
        <v/>
      </c>
      <c r="Q51" s="118" t="inlineStr">
        <is>
          <t>disposable plates for 100</t>
        </is>
      </c>
      <c r="R51" s="68" t="n">
        <v>13.99</v>
      </c>
    </row>
    <row r="52">
      <c r="B52" s="60" t="inlineStr">
        <is>
          <t>TOTAL (MISC)</t>
        </is>
      </c>
      <c r="C52" s="121">
        <f>SUM(C50:C51)</f>
        <v/>
      </c>
      <c r="G52" s="60" t="inlineStr">
        <is>
          <t>TOTAL (MISC)</t>
        </is>
      </c>
      <c r="H52" s="121">
        <f>SUM(H50:H51)</f>
        <v/>
      </c>
      <c r="L52" s="60" t="inlineStr">
        <is>
          <t>TOTAL (MISC)</t>
        </is>
      </c>
      <c r="M52" s="121">
        <f>SUM(M50:M51)</f>
        <v/>
      </c>
      <c r="Q52" s="72" t="inlineStr">
        <is>
          <t>Subtotal (Misc)</t>
        </is>
      </c>
      <c r="R52" s="73">
        <f>SUM(R48:R51)</f>
        <v/>
      </c>
    </row>
    <row r="53">
      <c r="B53" s="122" t="inlineStr">
        <is>
          <t>FINAL</t>
        </is>
      </c>
      <c r="C53" s="123">
        <f>SUM(C52,C45)</f>
        <v/>
      </c>
      <c r="G53" s="122" t="inlineStr">
        <is>
          <t>FINAL</t>
        </is>
      </c>
      <c r="H53" s="123">
        <f>SUM(H52,H45)</f>
        <v/>
      </c>
      <c r="L53" s="122" t="inlineStr">
        <is>
          <t>FINAL</t>
        </is>
      </c>
      <c r="M53" s="123">
        <f>SUM(M52,M45)</f>
        <v/>
      </c>
      <c r="Q53" s="54" t="inlineStr">
        <is>
          <t>Taxes (13%)</t>
        </is>
      </c>
      <c r="R53" s="45">
        <f>0.13*R52</f>
        <v/>
      </c>
    </row>
    <row r="54">
      <c r="Q54" s="60" t="inlineStr">
        <is>
          <t>TOTAL (MISC)</t>
        </is>
      </c>
      <c r="R54" s="61">
        <f>SUM(R52:R53)</f>
        <v/>
      </c>
    </row>
    <row r="55">
      <c r="Q55" s="122" t="inlineStr">
        <is>
          <t>FINAL</t>
        </is>
      </c>
      <c r="R55" s="123">
        <f>SUM(R54,R47)</f>
        <v/>
      </c>
    </row>
    <row r="58">
      <c r="A58" s="4" t="inlineStr">
        <is>
          <t>— SNACKS —</t>
        </is>
      </c>
    </row>
    <row r="60">
      <c r="A60" s="74" t="inlineStr">
        <is>
          <t>Fresca Pizza</t>
        </is>
      </c>
      <c r="E60" s="74" t="inlineStr">
        <is>
          <t>Pantree</t>
        </is>
      </c>
      <c r="I60" s="74" t="inlineStr">
        <is>
          <t>CUSTOM VENDOR</t>
        </is>
      </c>
    </row>
    <row r="61">
      <c r="A61" s="36" t="inlineStr">
        <is>
          <t>Item</t>
        </is>
      </c>
      <c r="B61" s="36" t="inlineStr">
        <is>
          <t>Sum</t>
        </is>
      </c>
      <c r="C61" s="36" t="inlineStr">
        <is>
          <t>Amount</t>
        </is>
      </c>
      <c r="D61" s="36" t="inlineStr">
        <is>
          <t>Cost price</t>
        </is>
      </c>
      <c r="E61" s="36" t="inlineStr">
        <is>
          <t>Item</t>
        </is>
      </c>
      <c r="F61" s="36" t="inlineStr">
        <is>
          <t>Sum</t>
        </is>
      </c>
      <c r="G61" s="36" t="inlineStr">
        <is>
          <t>Amount</t>
        </is>
      </c>
      <c r="H61" s="36" t="inlineStr">
        <is>
          <t>Cost price</t>
        </is>
      </c>
      <c r="I61" s="36" t="inlineStr">
        <is>
          <t>Item</t>
        </is>
      </c>
      <c r="J61" s="36" t="inlineStr">
        <is>
          <t>Sum</t>
        </is>
      </c>
      <c r="K61" s="36" t="inlineStr">
        <is>
          <t>Amount</t>
        </is>
      </c>
      <c r="L61" s="36" t="inlineStr">
        <is>
          <t>Cost price</t>
        </is>
      </c>
    </row>
    <row r="62">
      <c r="A62" s="49" t="inlineStr">
        <is>
          <t>Margherita XL</t>
        </is>
      </c>
      <c r="B62" s="47">
        <f>C62*D62</f>
        <v/>
      </c>
      <c r="C62" s="49" t="n">
        <v>5</v>
      </c>
      <c r="D62" s="109" t="n">
        <v>23.18</v>
      </c>
      <c r="E62" s="49" t="inlineStr">
        <is>
          <t>Fruit Platter Option C</t>
        </is>
      </c>
      <c r="F62" s="47">
        <f>G62*H62</f>
        <v/>
      </c>
      <c r="G62" s="49" t="n">
        <v>1</v>
      </c>
      <c r="H62" s="109" t="n">
        <v>116.57</v>
      </c>
      <c r="I62" s="49" t="inlineStr">
        <is>
          <t>Base Price</t>
        </is>
      </c>
      <c r="J62" s="47">
        <f>K62*L62</f>
        <v/>
      </c>
      <c r="K62" s="49" t="n">
        <v>1</v>
      </c>
      <c r="L62" s="109" t="n">
        <v>800</v>
      </c>
    </row>
    <row r="63">
      <c r="E63" s="49" t="inlineStr">
        <is>
          <t>Canada Dry</t>
        </is>
      </c>
      <c r="F63" s="47">
        <f>G63*H63</f>
        <v/>
      </c>
      <c r="G63" s="49" t="n">
        <v>1</v>
      </c>
      <c r="H63" s="109" t="n">
        <v>22.71</v>
      </c>
    </row>
    <row r="64">
      <c r="E64" s="69" t="inlineStr">
        <is>
          <t>Tropicana</t>
        </is>
      </c>
      <c r="F64" s="47">
        <f>G64*H64</f>
        <v/>
      </c>
      <c r="G64" s="49" t="n">
        <v>1</v>
      </c>
      <c r="H64" s="109" t="n">
        <v>46.82</v>
      </c>
    </row>
    <row r="72">
      <c r="A72" s="22" t="inlineStr">
        <is>
          <t>Subtotal Food</t>
        </is>
      </c>
      <c r="B72" s="23">
        <f> Sum(B62:B70)</f>
        <v/>
      </c>
      <c r="E72" s="22" t="inlineStr">
        <is>
          <t>Subtotal Food</t>
        </is>
      </c>
      <c r="F72" s="23">
        <f> Sum(F62:F70)</f>
        <v/>
      </c>
      <c r="I72" s="22" t="inlineStr">
        <is>
          <t>Subtotal Food</t>
        </is>
      </c>
      <c r="J72" s="23">
        <f> Sum(J62:J70)</f>
        <v/>
      </c>
    </row>
    <row r="73">
      <c r="A73" s="113" t="inlineStr">
        <is>
          <t>Delivery Fee</t>
        </is>
      </c>
      <c r="B73" s="47" t="n">
        <v>5</v>
      </c>
      <c r="C73" s="49" t="n">
        <v>1</v>
      </c>
      <c r="E73" s="113" t="inlineStr">
        <is>
          <t>Delivery Fee</t>
        </is>
      </c>
      <c r="F73" s="47" t="n">
        <v>15</v>
      </c>
      <c r="I73" s="113" t="inlineStr">
        <is>
          <t>Delivery Fee</t>
        </is>
      </c>
      <c r="J73" s="47" t="n">
        <v>15</v>
      </c>
    </row>
    <row r="74">
      <c r="A74" s="114" t="inlineStr">
        <is>
          <t>Service Fee (10%)</t>
        </is>
      </c>
      <c r="B74" s="47">
        <f>0.1*B72</f>
        <v/>
      </c>
    </row>
    <row r="75">
      <c r="A75" s="22" t="inlineStr">
        <is>
          <t>Pretax Subtotal</t>
        </is>
      </c>
      <c r="B75" s="23">
        <f>SUM(B72:B74)</f>
        <v/>
      </c>
      <c r="E75" s="22" t="inlineStr">
        <is>
          <t>Pretax Subtotal</t>
        </is>
      </c>
      <c r="F75" s="23">
        <f>SUM(F72:F74)</f>
        <v/>
      </c>
      <c r="I75" s="22" t="inlineStr">
        <is>
          <t>Pretax Subtotal</t>
        </is>
      </c>
      <c r="J75" s="23">
        <f>SUM(J72:J74)</f>
        <v/>
      </c>
    </row>
    <row r="76">
      <c r="A76" s="114" t="inlineStr">
        <is>
          <t>Taxes (13%)</t>
        </is>
      </c>
      <c r="B76" s="47">
        <f>B75*0.13</f>
        <v/>
      </c>
      <c r="E76" s="114" t="inlineStr">
        <is>
          <t>Taxes (13%)</t>
        </is>
      </c>
      <c r="F76" s="47">
        <f>F75*0.13</f>
        <v/>
      </c>
      <c r="I76" s="114" t="inlineStr">
        <is>
          <t>Taxes (13%)</t>
        </is>
      </c>
      <c r="J76" s="47">
        <f>J75*0.13</f>
        <v/>
      </c>
    </row>
    <row r="77">
      <c r="A77" s="22" t="inlineStr">
        <is>
          <t>Tip (15%)</t>
        </is>
      </c>
      <c r="B77" s="23">
        <f>B75*0.15</f>
        <v/>
      </c>
    </row>
    <row r="78">
      <c r="A78" s="67" t="inlineStr">
        <is>
          <t>TOTAL (FOOD)</t>
        </is>
      </c>
      <c r="B78" s="70">
        <f>SUM(B75:B77)</f>
        <v/>
      </c>
      <c r="E78" s="67" t="inlineStr">
        <is>
          <t>TOTAL (FOOD)</t>
        </is>
      </c>
      <c r="F78" s="70">
        <f>SUM(F75:F77)</f>
        <v/>
      </c>
      <c r="I78" s="67" t="inlineStr">
        <is>
          <t>TOTAL (FOOD)</t>
        </is>
      </c>
      <c r="J78" s="70">
        <f>SUM(J75:J77)</f>
        <v/>
      </c>
    </row>
    <row r="81">
      <c r="A81" s="4" t="inlineStr">
        <is>
          <t>— MEALS —</t>
        </is>
      </c>
    </row>
    <row r="83">
      <c r="A83" s="74" t="inlineStr">
        <is>
          <t>Pumpernickel’s Sandwiches</t>
        </is>
      </c>
      <c r="E83" s="74" t="inlineStr">
        <is>
          <t>Canteen via Uber</t>
        </is>
      </c>
      <c r="I83" s="74" t="inlineStr">
        <is>
          <t>CUSTOM VENDOR</t>
        </is>
      </c>
    </row>
    <row r="84">
      <c r="A84" s="36" t="inlineStr">
        <is>
          <t>Item</t>
        </is>
      </c>
      <c r="B84" s="36" t="inlineStr">
        <is>
          <t>Sum</t>
        </is>
      </c>
      <c r="C84" s="36" t="inlineStr">
        <is>
          <t>Amount</t>
        </is>
      </c>
      <c r="D84" s="36" t="inlineStr">
        <is>
          <t>Cost price</t>
        </is>
      </c>
      <c r="E84" s="36" t="inlineStr">
        <is>
          <t>Item</t>
        </is>
      </c>
      <c r="F84" s="36" t="inlineStr">
        <is>
          <t>Sum</t>
        </is>
      </c>
      <c r="G84" s="36" t="inlineStr">
        <is>
          <t>Amount</t>
        </is>
      </c>
      <c r="H84" s="36" t="inlineStr">
        <is>
          <t>Cost price</t>
        </is>
      </c>
      <c r="I84" s="36" t="inlineStr">
        <is>
          <t>Item</t>
        </is>
      </c>
      <c r="J84" s="36" t="inlineStr">
        <is>
          <t>Sum</t>
        </is>
      </c>
      <c r="K84" s="36" t="inlineStr">
        <is>
          <t>Amount</t>
        </is>
      </c>
      <c r="L84" s="36" t="inlineStr">
        <is>
          <t>Cost price</t>
        </is>
      </c>
    </row>
    <row r="85">
      <c r="A85" s="49" t="inlineStr">
        <is>
          <t>Assorted Sandwich Meal</t>
        </is>
      </c>
      <c r="B85" s="47">
        <f>C85*D85</f>
        <v/>
      </c>
      <c r="C85" s="49" t="n">
        <v>1</v>
      </c>
      <c r="D85" s="109" t="n">
        <v>206.9</v>
      </c>
      <c r="E85" s="44" t="inlineStr">
        <is>
          <t>Hainanese Chicken on Rice</t>
        </is>
      </c>
      <c r="F85" s="47">
        <f>G85*H85</f>
        <v/>
      </c>
      <c r="G85" s="49" t="n">
        <v>5</v>
      </c>
      <c r="H85" s="109" t="n">
        <v>17</v>
      </c>
      <c r="I85" s="49" t="inlineStr">
        <is>
          <t>Base Price</t>
        </is>
      </c>
      <c r="J85" s="47">
        <f>K85*L85</f>
        <v/>
      </c>
      <c r="K85" s="49" t="n">
        <v>1</v>
      </c>
      <c r="L85" s="109" t="n">
        <v>800</v>
      </c>
    </row>
    <row r="86">
      <c r="A86" s="49" t="inlineStr">
        <is>
          <t>Utensils</t>
        </is>
      </c>
      <c r="B86" s="47">
        <f>C86*D86</f>
        <v/>
      </c>
      <c r="C86" s="49" t="n">
        <v>1</v>
      </c>
      <c r="D86" s="109" t="n">
        <v>28.1</v>
      </c>
      <c r="E86" s="44" t="inlineStr">
        <is>
          <t>Nasi Lemak</t>
        </is>
      </c>
      <c r="F86" s="47">
        <f>G86*H86</f>
        <v/>
      </c>
      <c r="G86" s="49" t="n">
        <v>5</v>
      </c>
      <c r="H86" s="109" t="n">
        <v>17</v>
      </c>
    </row>
    <row r="87">
      <c r="E87" s="84" t="inlineStr">
        <is>
          <t>Baked Spaghetti with Minced Beef &amp; Cheese</t>
        </is>
      </c>
      <c r="F87" s="47">
        <f>G87*H87</f>
        <v/>
      </c>
      <c r="G87" s="49" t="n">
        <v>5</v>
      </c>
      <c r="H87" s="109" t="n">
        <v>15</v>
      </c>
    </row>
    <row r="88">
      <c r="E88" s="44" t="inlineStr">
        <is>
          <t>Malaysian Stur Fried Hokkien Noodles</t>
        </is>
      </c>
      <c r="F88" s="47">
        <f>G88*H88</f>
        <v/>
      </c>
      <c r="G88" s="49" t="n">
        <v>5</v>
      </c>
      <c r="H88" s="109" t="n">
        <v>17</v>
      </c>
    </row>
    <row r="89">
      <c r="E89" s="44" t="inlineStr">
        <is>
          <t>Baked Fish with Spinach &amp; Bacon in Cream Sauce &amp; Cheese on Rice</t>
        </is>
      </c>
      <c r="F89" s="47">
        <f>G89*H89</f>
        <v/>
      </c>
      <c r="G89" s="49" t="n">
        <v>5</v>
      </c>
      <c r="H89" s="109" t="n">
        <v>17</v>
      </c>
    </row>
    <row r="90">
      <c r="E90" s="44" t="inlineStr">
        <is>
          <t>Baked Spaghetti with Ham, Chicken &amp; Cheese in Tomato Sauce</t>
        </is>
      </c>
      <c r="F90" s="47">
        <f>G90*H90</f>
        <v/>
      </c>
      <c r="G90" s="49" t="n">
        <v>5</v>
      </c>
      <c r="H90" s="109" t="n">
        <v>15</v>
      </c>
    </row>
    <row r="91">
      <c r="E91" s="44" t="inlineStr">
        <is>
          <t>Honey Garlic Wings with Fries (8pc)</t>
        </is>
      </c>
      <c r="F91" s="47">
        <f>G91*H91</f>
        <v/>
      </c>
      <c r="G91" s="49" t="n">
        <v>5</v>
      </c>
      <c r="H91" s="109" t="n">
        <v>14</v>
      </c>
    </row>
    <row r="92">
      <c r="E92" s="44" t="inlineStr">
        <is>
          <t>Deep Fried Chicken Wings with Fries (8pcs)</t>
        </is>
      </c>
      <c r="F92" s="47">
        <f>G92*H92</f>
        <v/>
      </c>
      <c r="G92" s="49" t="n">
        <v>5</v>
      </c>
      <c r="H92" s="109" t="n">
        <v>14</v>
      </c>
    </row>
    <row r="93">
      <c r="E93" s="44" t="inlineStr">
        <is>
          <t>Onion Rings</t>
        </is>
      </c>
      <c r="F93" s="47">
        <f>G93*H93</f>
        <v/>
      </c>
      <c r="G93" s="49" t="n">
        <v>5</v>
      </c>
      <c r="H93" s="109" t="n">
        <v>7.5</v>
      </c>
    </row>
    <row r="94">
      <c r="E94" s="22" t="inlineStr">
        <is>
          <t>Beverage</t>
        </is>
      </c>
      <c r="F94" s="47">
        <f>G94*H94</f>
        <v/>
      </c>
      <c r="G94" s="49" t="n">
        <v>40</v>
      </c>
      <c r="H94" s="109" t="n">
        <v>2.5</v>
      </c>
    </row>
    <row r="95">
      <c r="A95" s="22" t="inlineStr">
        <is>
          <t>Subtotal Food</t>
        </is>
      </c>
      <c r="B95" s="23">
        <f> Sum(B85:B93)</f>
        <v/>
      </c>
      <c r="E95" s="22" t="inlineStr">
        <is>
          <t>Subtotal Food</t>
        </is>
      </c>
      <c r="F95" s="23">
        <f> Sum(F85:F94)</f>
        <v/>
      </c>
      <c r="I95" s="22" t="inlineStr">
        <is>
          <t>Subtotal Food</t>
        </is>
      </c>
      <c r="J95" s="23">
        <f> Sum(J85:J93)</f>
        <v/>
      </c>
    </row>
    <row r="96">
      <c r="A96" s="113" t="inlineStr">
        <is>
          <t>Delivery Fee</t>
        </is>
      </c>
      <c r="B96" s="47" t="n">
        <v>20</v>
      </c>
      <c r="C96" s="49" t="n">
        <v>1</v>
      </c>
      <c r="E96" s="113" t="inlineStr">
        <is>
          <t>Delivery Fee</t>
        </is>
      </c>
      <c r="F96" s="47" t="n">
        <v>6.49</v>
      </c>
      <c r="I96" s="113" t="inlineStr">
        <is>
          <t>Delivery Fee</t>
        </is>
      </c>
      <c r="J96" s="47" t="n">
        <v>15</v>
      </c>
    </row>
    <row r="97">
      <c r="E97" s="114" t="inlineStr">
        <is>
          <t>Platform Fee</t>
        </is>
      </c>
      <c r="F97" s="47" t="n">
        <v>6.5</v>
      </c>
    </row>
    <row r="98">
      <c r="A98" s="22" t="inlineStr">
        <is>
          <t>Pretax Subtotal</t>
        </is>
      </c>
      <c r="B98" s="23">
        <f>SUM(B95:B97)</f>
        <v/>
      </c>
      <c r="E98" s="22" t="inlineStr">
        <is>
          <t>Pretax Subtotal</t>
        </is>
      </c>
      <c r="F98" s="23">
        <f>SUM(F95:F97)</f>
        <v/>
      </c>
      <c r="I98" s="22" t="inlineStr">
        <is>
          <t>Pretax Subtotal</t>
        </is>
      </c>
      <c r="J98" s="23">
        <f>SUM(J95:J97)</f>
        <v/>
      </c>
    </row>
    <row r="99">
      <c r="A99" s="114" t="inlineStr">
        <is>
          <t>Taxes (13%)</t>
        </is>
      </c>
      <c r="B99" s="47">
        <f>B98*0.13</f>
        <v/>
      </c>
      <c r="E99" s="114" t="inlineStr">
        <is>
          <t>Taxes (13%)</t>
        </is>
      </c>
      <c r="F99" s="47">
        <f>F98*0.13</f>
        <v/>
      </c>
      <c r="I99" s="114" t="inlineStr">
        <is>
          <t>Taxes (13%)</t>
        </is>
      </c>
      <c r="J99" s="47">
        <f>J98*0.13</f>
        <v/>
      </c>
    </row>
    <row r="100">
      <c r="A100" s="22" t="inlineStr">
        <is>
          <t>Tip (15%)</t>
        </is>
      </c>
      <c r="B100" s="23">
        <f>B98*0.15</f>
        <v/>
      </c>
      <c r="E100" s="22" t="inlineStr">
        <is>
          <t>Tip (15%)</t>
        </is>
      </c>
      <c r="F100" s="23">
        <f>F98*0.15</f>
        <v/>
      </c>
    </row>
    <row r="101">
      <c r="A101" s="67" t="inlineStr">
        <is>
          <t>TOTAL (FOOD)</t>
        </is>
      </c>
      <c r="B101" s="70">
        <f>SUM(B98:B100)</f>
        <v/>
      </c>
      <c r="E101" s="67" t="inlineStr">
        <is>
          <t>TOTAL (FOOD)</t>
        </is>
      </c>
      <c r="F101" s="70">
        <f>SUM(F98:F100)</f>
        <v/>
      </c>
      <c r="I101" s="67" t="inlineStr">
        <is>
          <t>TOTAL (FOOD)</t>
        </is>
      </c>
      <c r="J101" s="70">
        <f>SUM(J98:J100)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FIFA World Cup Final Watch Party (Jul 19 2026)</t>
        </is>
      </c>
    </row>
    <row r="3">
      <c r="A3" s="4" t="inlineStr">
        <is>
          <t>— Sheet1 —</t>
        </is>
      </c>
    </row>
    <row r="5">
      <c r="A5" s="35" t="inlineStr">
        <is>
          <t>House of Gourmet via Uber</t>
        </is>
      </c>
      <c r="E5" s="67" t="inlineStr">
        <is>
          <t>Canteen via Uber</t>
        </is>
      </c>
      <c r="I5" s="35" t="inlineStr">
        <is>
          <t>Butter Chicken Factory - 560 Parliament St</t>
        </is>
      </c>
    </row>
    <row r="6">
      <c r="A6" s="36" t="inlineStr">
        <is>
          <t>Item</t>
        </is>
      </c>
      <c r="B6" s="36" t="inlineStr">
        <is>
          <t>Cost price</t>
        </is>
      </c>
      <c r="C6" s="36" t="inlineStr">
        <is>
          <t>Amount</t>
        </is>
      </c>
      <c r="D6" s="36" t="inlineStr">
        <is>
          <t>Sum</t>
        </is>
      </c>
      <c r="E6" s="36" t="inlineStr">
        <is>
          <t>Item</t>
        </is>
      </c>
      <c r="F6" s="36" t="inlineStr">
        <is>
          <t>Cost price</t>
        </is>
      </c>
      <c r="G6" s="36" t="inlineStr">
        <is>
          <t>Amount</t>
        </is>
      </c>
      <c r="H6" s="36" t="inlineStr">
        <is>
          <t>Sum</t>
        </is>
      </c>
      <c r="I6" s="36" t="inlineStr">
        <is>
          <t>Item</t>
        </is>
      </c>
      <c r="J6" s="36" t="inlineStr">
        <is>
          <t>Cost price</t>
        </is>
      </c>
      <c r="K6" s="36" t="inlineStr">
        <is>
          <t>Amount</t>
        </is>
      </c>
      <c r="L6" s="36" t="inlineStr">
        <is>
          <t>Sum</t>
        </is>
      </c>
    </row>
    <row r="7">
      <c r="A7" s="49" t="inlineStr">
        <is>
          <t>Fried Noodle with Bean Sprout 芽菜仔炒麵</t>
        </is>
      </c>
      <c r="B7" s="47" t="n">
        <v>16.99</v>
      </c>
      <c r="C7" s="68" t="n">
        <v>2</v>
      </c>
      <c r="D7" s="47">
        <f>C7*B7</f>
        <v/>
      </c>
      <c r="E7" s="44" t="inlineStr">
        <is>
          <t>Hainanese Chicken on Rice</t>
        </is>
      </c>
      <c r="F7" s="47" t="n">
        <v>17</v>
      </c>
      <c r="G7" s="68" t="n">
        <v>2</v>
      </c>
      <c r="H7" s="47">
        <f>G7*F7</f>
        <v/>
      </c>
      <c r="I7" s="11" t="inlineStr">
        <is>
          <t>Veg Biryani</t>
        </is>
      </c>
      <c r="J7" s="76" t="n">
        <v>26.4</v>
      </c>
      <c r="K7" s="124" t="n">
        <v>2</v>
      </c>
      <c r="L7" s="125">
        <f>K7*J7</f>
        <v/>
      </c>
    </row>
    <row r="8">
      <c r="A8" s="49" t="inlineStr">
        <is>
          <t>Chicken Fried Rice 雞粒炒飯</t>
        </is>
      </c>
      <c r="B8" s="47" t="n">
        <v>17.5</v>
      </c>
      <c r="C8" s="68" t="n">
        <v>3</v>
      </c>
      <c r="D8" s="47">
        <f>C8*B8</f>
        <v/>
      </c>
      <c r="E8" s="44" t="inlineStr">
        <is>
          <t>Nasi Lemak</t>
        </is>
      </c>
      <c r="F8" s="47" t="n">
        <v>17</v>
      </c>
      <c r="G8" s="68" t="n">
        <v>2</v>
      </c>
      <c r="H8" s="47">
        <f>G8*F8</f>
        <v/>
      </c>
      <c r="I8" s="14" t="inlineStr">
        <is>
          <t xml:space="preserve">Garlic Naan </t>
        </is>
      </c>
      <c r="J8" s="79" t="n">
        <v>7.2</v>
      </c>
      <c r="K8" s="126" t="n">
        <v>2</v>
      </c>
      <c r="L8" s="127">
        <f>K8*J8</f>
        <v/>
      </c>
    </row>
    <row r="9">
      <c r="A9" s="69" t="inlineStr">
        <is>
          <t>Sliced Beef with Black Bean Sauce 豉椒牛肉</t>
        </is>
      </c>
      <c r="B9" s="47" t="n">
        <v>18.99</v>
      </c>
      <c r="C9" s="68" t="n">
        <v>2</v>
      </c>
      <c r="D9" s="47">
        <f>C9*B9</f>
        <v/>
      </c>
      <c r="E9" s="84" t="inlineStr">
        <is>
          <t>Baked Spaghetti with Minced Beef &amp; Cheese</t>
        </is>
      </c>
      <c r="F9" s="47" t="n">
        <v>15</v>
      </c>
      <c r="G9" s="68" t="n">
        <v>2</v>
      </c>
      <c r="H9" s="47">
        <f>G9*F9</f>
        <v/>
      </c>
      <c r="I9" s="81" t="inlineStr">
        <is>
          <t>Butter Chicken</t>
        </is>
      </c>
      <c r="J9" s="76" t="n">
        <v>26.4</v>
      </c>
      <c r="K9" s="124" t="n">
        <v>3</v>
      </c>
      <c r="L9" s="125">
        <f>K9*J9</f>
        <v/>
      </c>
    </row>
    <row r="10">
      <c r="A10" s="49" t="inlineStr">
        <is>
          <t>Sweet and Sour Pork with Pineapple 菠蘿咕嚕肉</t>
        </is>
      </c>
      <c r="B10" s="47" t="n">
        <v>18.5</v>
      </c>
      <c r="C10" s="68" t="n">
        <v>3</v>
      </c>
      <c r="D10" s="47">
        <f>C10*B10</f>
        <v/>
      </c>
      <c r="E10" s="44" t="inlineStr">
        <is>
          <t>Malaysian Stur Fried Hokkien Noodles</t>
        </is>
      </c>
      <c r="F10" s="47" t="n">
        <v>17</v>
      </c>
      <c r="G10" s="68" t="n">
        <v>2</v>
      </c>
      <c r="H10" s="47">
        <f>G10*F10</f>
        <v/>
      </c>
      <c r="I10" s="88" t="inlineStr">
        <is>
          <t>Paneer Tikka Masala</t>
        </is>
      </c>
      <c r="J10" s="79" t="n">
        <v>24</v>
      </c>
      <c r="K10" s="126" t="n">
        <v>2</v>
      </c>
      <c r="L10" s="127">
        <f>K10*J10</f>
        <v/>
      </c>
    </row>
    <row r="11">
      <c r="A11" s="49" t="inlineStr">
        <is>
          <t>Deep-Fried Bean Curd with Broccoli and Black Mushroom 紅燒豆腐</t>
        </is>
      </c>
      <c r="B11" s="47" t="n">
        <v>17.99</v>
      </c>
      <c r="C11" s="68" t="n">
        <v>2</v>
      </c>
      <c r="D11" s="47">
        <f>C11*B11</f>
        <v/>
      </c>
      <c r="E11" s="44" t="inlineStr">
        <is>
          <t>Baked Fish with Spinach &amp; Bacon in Cream Sauce &amp; Cheese on Rice</t>
        </is>
      </c>
      <c r="F11" s="47" t="n">
        <v>17</v>
      </c>
      <c r="G11" s="68" t="n">
        <v>2</v>
      </c>
      <c r="H11" s="47">
        <f>G11*F11</f>
        <v/>
      </c>
      <c r="I11" s="89" t="inlineStr">
        <is>
          <t>Palak Paneer</t>
        </is>
      </c>
      <c r="J11" s="76" t="n">
        <v>24</v>
      </c>
      <c r="K11" s="124" t="n">
        <v>2</v>
      </c>
      <c r="L11" s="125">
        <f>K11*J11</f>
        <v/>
      </c>
    </row>
    <row r="12">
      <c r="A12" s="49" t="inlineStr">
        <is>
          <t>Vegetarian Egg Roll 素蛋卷 x1</t>
        </is>
      </c>
      <c r="B12" s="47" t="n">
        <v>3.5</v>
      </c>
      <c r="C12" s="68" t="n">
        <v>5</v>
      </c>
      <c r="D12" s="47">
        <f>C12*B12</f>
        <v/>
      </c>
      <c r="E12" s="44" t="inlineStr">
        <is>
          <t>Baked Spaghetti with Ham, Chicken &amp; Cheese in Tomato Sauce</t>
        </is>
      </c>
      <c r="F12" s="47" t="n">
        <v>15</v>
      </c>
      <c r="G12" s="68" t="n">
        <v>2</v>
      </c>
      <c r="H12" s="47">
        <f>G12*F12</f>
        <v/>
      </c>
    </row>
    <row r="13">
      <c r="A13" s="44" t="inlineStr">
        <is>
          <t>Deep-Fried Breaded Jumbo Shrimp 脆皮炸明蝦</t>
        </is>
      </c>
      <c r="B13" s="47" t="n">
        <v>14.5</v>
      </c>
      <c r="C13" s="68" t="n">
        <v>3</v>
      </c>
      <c r="D13" s="47">
        <f>C13*B13</f>
        <v/>
      </c>
      <c r="E13" s="44" t="inlineStr">
        <is>
          <t>Honey Garlic Wings with Fries (8pc)</t>
        </is>
      </c>
      <c r="F13" s="47" t="n">
        <v>14</v>
      </c>
      <c r="G13" s="68" t="n">
        <v>2</v>
      </c>
      <c r="H13" s="47">
        <f>G13*F13</f>
        <v/>
      </c>
    </row>
    <row r="14">
      <c r="E14" s="44" t="inlineStr">
        <is>
          <t>Onion Rings</t>
        </is>
      </c>
      <c r="F14" s="47" t="n">
        <v>7.5</v>
      </c>
      <c r="G14" s="68" t="n">
        <v>2</v>
      </c>
      <c r="H14" s="47">
        <f>G14*F14</f>
        <v/>
      </c>
    </row>
    <row r="15">
      <c r="E15" s="44" t="inlineStr">
        <is>
          <t>Beverage</t>
        </is>
      </c>
      <c r="F15" s="47" t="n">
        <v>2.5</v>
      </c>
      <c r="G15" s="68" t="n">
        <v>0</v>
      </c>
      <c r="H15" s="47">
        <f>G15*F15</f>
        <v/>
      </c>
    </row>
    <row r="16">
      <c r="H16" s="47">
        <f>G16*F16</f>
        <v/>
      </c>
      <c r="I16" s="44" t="inlineStr">
        <is>
          <t>Subtotal Food</t>
        </is>
      </c>
      <c r="L16" s="45">
        <f>SUM(L7:L15)</f>
        <v/>
      </c>
    </row>
    <row r="17">
      <c r="A17" s="44" t="inlineStr">
        <is>
          <t>Subtotal Food</t>
        </is>
      </c>
      <c r="D17" s="45">
        <f>SUM(D7:D15)</f>
        <v/>
      </c>
      <c r="E17" s="44" t="inlineStr">
        <is>
          <t>Subtotal Food</t>
        </is>
      </c>
      <c r="H17" s="45">
        <f>SUM(H7:H16)</f>
        <v/>
      </c>
      <c r="I17" s="46" t="inlineStr">
        <is>
          <t>Delivery Fee</t>
        </is>
      </c>
      <c r="L17" s="47" t="n">
        <v>1.49</v>
      </c>
    </row>
    <row r="18">
      <c r="A18" s="46" t="inlineStr">
        <is>
          <t>Delivery Fee</t>
        </is>
      </c>
      <c r="C18" s="68" t="n">
        <v>1</v>
      </c>
      <c r="D18" s="47" t="n">
        <v>20</v>
      </c>
      <c r="E18" s="46" t="inlineStr">
        <is>
          <t>Delivery Fee</t>
        </is>
      </c>
      <c r="H18" s="47" t="n">
        <v>6.49</v>
      </c>
      <c r="I18" s="46" t="inlineStr">
        <is>
          <t>Service Fee</t>
        </is>
      </c>
      <c r="L18" s="45" t="n">
        <v>38.69</v>
      </c>
    </row>
    <row r="19">
      <c r="E19" s="49" t="inlineStr">
        <is>
          <t>Platform Fee</t>
        </is>
      </c>
      <c r="H19" s="47" t="n">
        <v>6.5</v>
      </c>
      <c r="I19" s="44" t="inlineStr">
        <is>
          <t>Pretax Subtotal</t>
        </is>
      </c>
      <c r="L19" s="45">
        <f>SUM(L16:L18)</f>
        <v/>
      </c>
    </row>
    <row r="20">
      <c r="A20" s="44" t="inlineStr">
        <is>
          <t>Pretax Subtotal</t>
        </is>
      </c>
      <c r="D20" s="45">
        <f>SUM(D17:D19)</f>
        <v/>
      </c>
      <c r="E20" s="44" t="inlineStr">
        <is>
          <t>Pretax Subtotal</t>
        </is>
      </c>
      <c r="H20" s="45">
        <f>SUM(H17:H19)</f>
        <v/>
      </c>
      <c r="I20" s="49" t="inlineStr">
        <is>
          <t>Taxes (13%) (none if paying with cash//E-Transfer)</t>
        </is>
      </c>
      <c r="L20" s="47" t="n">
        <v>43.91</v>
      </c>
    </row>
    <row r="21">
      <c r="A21" s="49" t="inlineStr">
        <is>
          <t>Taxes (13%)</t>
        </is>
      </c>
      <c r="D21" s="47">
        <f>D20*0.13</f>
        <v/>
      </c>
      <c r="E21" s="49" t="inlineStr">
        <is>
          <t>Taxes (13%)</t>
        </is>
      </c>
      <c r="H21" s="47">
        <f>H20*0.13</f>
        <v/>
      </c>
      <c r="I21" s="44" t="inlineStr">
        <is>
          <t>Tip (15%)</t>
        </is>
      </c>
      <c r="L21" s="45" t="n">
        <v>45.8</v>
      </c>
    </row>
    <row r="22">
      <c r="A22" s="44" t="inlineStr">
        <is>
          <t>Tip (15%)</t>
        </is>
      </c>
      <c r="D22" s="45">
        <f>D20*0.15</f>
        <v/>
      </c>
      <c r="E22" s="44" t="inlineStr">
        <is>
          <t>Tip (15%)</t>
        </is>
      </c>
      <c r="H22" s="45">
        <f>H20*0.15</f>
        <v/>
      </c>
    </row>
    <row r="23">
      <c r="A23" s="67" t="inlineStr">
        <is>
          <t>TOTAL (FOOD)</t>
        </is>
      </c>
      <c r="D23" s="70">
        <f>SUM(D20:D22)</f>
        <v/>
      </c>
      <c r="E23" s="67" t="inlineStr">
        <is>
          <t>TOTAL (FOOD)</t>
        </is>
      </c>
      <c r="H23" s="70">
        <f>SUM(H20:H22)</f>
        <v/>
      </c>
      <c r="I23" s="72" t="inlineStr">
        <is>
          <t>TOTAL</t>
        </is>
      </c>
      <c r="L23" s="73">
        <f>SUM(L19:L21)</f>
        <v/>
      </c>
    </row>
    <row r="26">
      <c r="A26" s="4" t="inlineStr">
        <is>
          <t>— Sheet2 —</t>
        </is>
      </c>
    </row>
    <row r="28">
      <c r="A28" s="128" t="inlineStr">
        <is>
          <t>Mother's Dumplings</t>
        </is>
      </c>
    </row>
    <row r="29">
      <c r="A29" s="36" t="inlineStr">
        <is>
          <t>Item</t>
        </is>
      </c>
      <c r="B29" s="36" t="inlineStr">
        <is>
          <t>Cost price</t>
        </is>
      </c>
      <c r="C29" s="36" t="inlineStr">
        <is>
          <t>Amount</t>
        </is>
      </c>
      <c r="D29" s="36" t="inlineStr">
        <is>
          <t>Sum</t>
        </is>
      </c>
    </row>
    <row r="30">
      <c r="A30" s="49" t="inlineStr">
        <is>
          <t>J11 Chicken</t>
        </is>
      </c>
      <c r="B30" s="47" t="n">
        <v>18.25</v>
      </c>
      <c r="C30" s="68" t="n">
        <v>4</v>
      </c>
      <c r="D30" s="47">
        <f>C30*B30</f>
        <v/>
      </c>
    </row>
    <row r="31">
      <c r="A31" s="49" t="inlineStr">
        <is>
          <t>J19 Beef Broccoli</t>
        </is>
      </c>
      <c r="B31" s="47" t="n">
        <v>16.95</v>
      </c>
      <c r="C31" s="68" t="n">
        <v>4</v>
      </c>
      <c r="D31" s="47">
        <f>C31*B31</f>
        <v/>
      </c>
    </row>
    <row r="32">
      <c r="A32" s="49" t="inlineStr">
        <is>
          <t>J5 Tomato Egg</t>
        </is>
      </c>
      <c r="B32" s="47" t="n">
        <v>13.75</v>
      </c>
      <c r="C32" s="68" t="n">
        <v>5</v>
      </c>
      <c r="D32" s="47">
        <f>C32*B32</f>
        <v/>
      </c>
    </row>
    <row r="33">
      <c r="A33" s="69" t="inlineStr">
        <is>
          <t>A5 Veggie Dumplings</t>
        </is>
      </c>
      <c r="B33" s="47" t="n">
        <v>13.15</v>
      </c>
      <c r="C33" s="68" t="n">
        <v>3</v>
      </c>
      <c r="D33" s="47">
        <f>C33*B33</f>
        <v/>
      </c>
    </row>
    <row r="34">
      <c r="A34" s="49" t="inlineStr">
        <is>
          <t>C2 Pork Melon Dumpling</t>
        </is>
      </c>
      <c r="B34" s="47" t="n">
        <v>14.55</v>
      </c>
      <c r="C34" s="68" t="n">
        <v>4</v>
      </c>
      <c r="D34" s="47">
        <f>C34*B34</f>
        <v/>
      </c>
    </row>
    <row r="35">
      <c r="A35" s="49" t="inlineStr">
        <is>
          <t>G1 Plain Rice</t>
        </is>
      </c>
      <c r="B35" s="47" t="n">
        <v>3.55</v>
      </c>
      <c r="C35" s="68" t="n">
        <v>10</v>
      </c>
      <c r="D35" s="47">
        <f>C35*B35</f>
        <v/>
      </c>
    </row>
    <row r="36">
      <c r="A36" s="49" t="inlineStr">
        <is>
          <t>D2 Green Onion pancake</t>
        </is>
      </c>
      <c r="B36" s="47" t="n">
        <v>7.05</v>
      </c>
      <c r="C36" s="68" t="n">
        <v>5</v>
      </c>
      <c r="D36" s="47">
        <f>C36*B36</f>
        <v/>
      </c>
    </row>
    <row r="40">
      <c r="A40" s="44" t="inlineStr">
        <is>
          <t>Subtotal Food</t>
        </is>
      </c>
      <c r="D40" s="45">
        <f>SUM(D30:D38)</f>
        <v/>
      </c>
    </row>
    <row r="41">
      <c r="A41" s="46" t="inlineStr">
        <is>
          <t>Delivery Fee</t>
        </is>
      </c>
      <c r="D41" s="47" t="n">
        <v>0</v>
      </c>
    </row>
    <row r="43">
      <c r="A43" s="44" t="inlineStr">
        <is>
          <t>Pretax Subtotal</t>
        </is>
      </c>
      <c r="D43" s="45">
        <f>SUM(D40:D42)</f>
        <v/>
      </c>
    </row>
    <row r="44">
      <c r="A44" s="49" t="inlineStr">
        <is>
          <t>Taxes (13%)</t>
        </is>
      </c>
      <c r="D44" s="47">
        <f>D43*0.13</f>
        <v/>
      </c>
    </row>
    <row r="45">
      <c r="A45" s="44" t="inlineStr">
        <is>
          <t>Tip (15%)</t>
        </is>
      </c>
      <c r="C45" s="44" t="n">
        <v>0</v>
      </c>
    </row>
    <row r="46">
      <c r="A46" s="67" t="inlineStr">
        <is>
          <t>TOTAL (FOOD)</t>
        </is>
      </c>
      <c r="D46" s="70">
        <f>SUM(D43:D45)</f>
        <v/>
      </c>
    </row>
    <row r="47">
      <c r="D47" s="22" t="inlineStr">
        <is>
          <t>plates pleasseeee</t>
        </is>
      </c>
    </row>
    <row r="48">
      <c r="D48" s="22" t="inlineStr">
        <is>
          <t>receipt with final amt --&gt; alice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2026-08-25T06:17:46Z</dcterms:created>
  <dcterms:modified xmlns:dcterms="http://purl.org/dc/terms/" xmlns:xsi="http://www.w3.org/2001/XMLSchema-instance" xsi:type="dcterms:W3CDTF">2026-08-25T06:17:47Z</dcterms:modified>
</cp:coreProperties>
</file>