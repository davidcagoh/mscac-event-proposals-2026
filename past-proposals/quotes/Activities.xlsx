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uldering &amp; Social Mixer (Feb 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2F5233"/>
      <sz val="11"/>
    </font>
    <font>
      <name val="Arial"/>
      <b val="1"/>
      <color rgb="FF000000"/>
      <sz val="10"/>
    </font>
    <font>
      <name val="Arial"/>
      <b val="1"/>
      <color theme="1"/>
    </font>
    <font>
      <name val="Arial"/>
      <color rgb="FF1155CC"/>
      <u val="single"/>
    </font>
    <font>
      <name val="Arial"/>
      <b val="1"/>
      <color theme="1"/>
      <sz val="10"/>
    </font>
    <font>
      <name val="Arial"/>
      <color theme="1"/>
      <sz val="10"/>
    </font>
    <font>
      <name val="Arial"/>
      <color theme="1"/>
    </font>
    <font>
      <name val="Arial"/>
      <b val="1"/>
      <i val="1"/>
      <color theme="1"/>
      <sz val="10"/>
    </font>
  </fonts>
  <fills count="5">
    <fill>
      <patternFill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D9EEB"/>
        <bgColor rgb="FF6D9EEB"/>
      </patternFill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 wrapText="1"/>
    </xf>
    <xf numFmtId="0" fontId="6" fillId="3" borderId="0" applyAlignment="1" pivotButton="0" quotePrefix="0" xfId="0">
      <alignment wrapText="1"/>
    </xf>
    <xf numFmtId="0" fontId="4" fillId="3" borderId="0" applyAlignment="1" pivotButton="0" quotePrefix="0" xfId="0">
      <alignment vertical="bottom" wrapText="1"/>
    </xf>
    <xf numFmtId="0" fontId="7" fillId="0" borderId="0" applyAlignment="1" pivotButton="0" quotePrefix="0" xfId="0">
      <alignment wrapText="1"/>
    </xf>
    <xf numFmtId="164" fontId="7" fillId="0" borderId="0" applyAlignment="1" pivotButton="0" quotePrefix="0" xfId="0">
      <alignment wrapText="1"/>
    </xf>
    <xf numFmtId="164" fontId="7" fillId="0" borderId="0" applyAlignment="1" pivotButton="0" quotePrefix="0" xfId="0">
      <alignment horizontal="right" wrapText="1"/>
    </xf>
    <xf numFmtId="0" fontId="8" fillId="0" borderId="0" applyAlignment="1" pivotButton="0" quotePrefix="0" xfId="0">
      <alignment vertical="bottom"/>
    </xf>
    <xf numFmtId="164" fontId="8" fillId="0" borderId="0" applyAlignment="1" pivotButton="0" quotePrefix="0" xfId="0">
      <alignment horizontal="right" vertical="bottom" wrapText="1"/>
    </xf>
    <xf numFmtId="0" fontId="8" fillId="0" borderId="0" applyAlignment="1" pivotButton="0" quotePrefix="0" xfId="0">
      <alignment horizontal="right" vertical="bottom" wrapText="1"/>
    </xf>
    <xf numFmtId="0" fontId="8" fillId="0" borderId="0" applyAlignment="1" pivotButton="0" quotePrefix="0" xfId="0">
      <alignment vertical="bottom" wrapText="1"/>
    </xf>
    <xf numFmtId="0" fontId="7" fillId="0" borderId="0" pivotButton="0" quotePrefix="0" xfId="0"/>
    <xf numFmtId="164" fontId="7" fillId="0" borderId="0" pivotButton="0" quotePrefix="0" xfId="0"/>
    <xf numFmtId="164" fontId="8" fillId="0" borderId="0" applyAlignment="1" pivotButton="0" quotePrefix="0" xfId="0">
      <alignment horizontal="right" vertical="bottom"/>
    </xf>
    <xf numFmtId="0" fontId="9" fillId="0" borderId="0" pivotButton="0" quotePrefix="0" xfId="0"/>
    <xf numFmtId="0" fontId="7" fillId="0" borderId="0" applyAlignment="1" pivotButton="0" quotePrefix="0" xfId="0">
      <alignment horizontal="left" wrapText="1"/>
    </xf>
    <xf numFmtId="0" fontId="6" fillId="4" borderId="0" applyAlignment="1" pivotButton="0" quotePrefix="0" xfId="0">
      <alignment wrapText="1"/>
    </xf>
    <xf numFmtId="164" fontId="6" fillId="4" borderId="0" applyAlignment="1" pivotButton="0" quotePrefix="0" xfId="0">
      <alignment horizontal="right" wrapText="1"/>
    </xf>
    <xf numFmtId="164" fontId="4" fillId="2" borderId="0" applyAlignment="1" pivotButton="0" quotePrefix="0" xfId="0">
      <alignment horizontal="right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Activities — Vendor Quote History</t>
        </is>
      </c>
    </row>
    <row r="3">
      <c r="A3" s="2" t="inlineStr">
        <is>
          <t>Each page below is one event, reproduced from the original quote spreadsheets (lists-of-quotes/) with vendors side by side and the same subtotal / delivery / tax / tip formulas as the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9.63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Bouldering &amp; Social Mixer (Feb 6 2026)</t>
        </is>
      </c>
    </row>
    <row r="3">
      <c r="A3" s="3" t="inlineStr">
        <is>
          <t>— Bouldering Gym —</t>
        </is>
      </c>
    </row>
    <row r="5">
      <c r="A5" s="4" t="inlineStr">
        <is>
          <t>Basecamp Climbing @ Queen Street</t>
        </is>
      </c>
      <c r="E5" s="5" t="inlineStr">
        <is>
          <t>Axe Throwing @ BATL Grounds</t>
        </is>
      </c>
      <c r="I5" s="5" t="inlineStr">
        <is>
          <t>Bowling @ The Ballroom Bowl Yorkville</t>
        </is>
      </c>
      <c r="L5" s="6" t="inlineStr">
        <is>
          <t>Link</t>
        </is>
      </c>
    </row>
    <row r="6">
      <c r="A6" s="7" t="inlineStr">
        <is>
          <t>Item</t>
        </is>
      </c>
      <c r="B6" s="7" t="inlineStr">
        <is>
          <t>Cost price</t>
        </is>
      </c>
      <c r="C6" s="7" t="inlineStr">
        <is>
          <t>Amount</t>
        </is>
      </c>
      <c r="D6" s="7" t="inlineStr">
        <is>
          <t>Sum</t>
        </is>
      </c>
      <c r="E6" s="8" t="inlineStr">
        <is>
          <t>Item</t>
        </is>
      </c>
      <c r="F6" s="8" t="inlineStr">
        <is>
          <t>Cost price</t>
        </is>
      </c>
      <c r="G6" s="8" t="inlineStr">
        <is>
          <t>Amount</t>
        </is>
      </c>
      <c r="H6" s="8" t="inlineStr">
        <is>
          <t>Sum</t>
        </is>
      </c>
      <c r="I6" s="8" t="inlineStr">
        <is>
          <t>Item</t>
        </is>
      </c>
      <c r="J6" s="8" t="inlineStr">
        <is>
          <t>Cost price</t>
        </is>
      </c>
      <c r="K6" s="8" t="inlineStr">
        <is>
          <t>Amount</t>
        </is>
      </c>
      <c r="L6" s="8" t="inlineStr">
        <is>
          <t>Sum</t>
        </is>
      </c>
    </row>
    <row r="7">
      <c r="A7" s="9" t="inlineStr">
        <is>
          <t>Day Pass (Student)</t>
        </is>
      </c>
      <c r="B7" s="10" t="n">
        <v>25</v>
      </c>
      <c r="C7" s="9" t="n">
        <v>15</v>
      </c>
      <c r="D7" s="11">
        <f>C7*B7</f>
        <v/>
      </c>
      <c r="E7" s="12" t="inlineStr">
        <is>
          <t>Play 2 Bundle (90min)</t>
        </is>
      </c>
      <c r="F7" s="13" t="n">
        <v>37.99</v>
      </c>
      <c r="G7" s="14" t="n">
        <v>15</v>
      </c>
      <c r="H7" s="13">
        <f>G7*F7</f>
        <v/>
      </c>
      <c r="I7" s="15" t="inlineStr">
        <is>
          <t>Adult Peak (1h)</t>
        </is>
      </c>
      <c r="J7" s="13" t="n">
        <v>32.5</v>
      </c>
      <c r="K7" s="14" t="n">
        <v>15</v>
      </c>
      <c r="L7" s="13">
        <f>K7*J7</f>
        <v/>
      </c>
    </row>
    <row r="8">
      <c r="A8" s="9" t="inlineStr">
        <is>
          <t>Shoe Rental</t>
        </is>
      </c>
      <c r="B8" s="10" t="n">
        <v>7</v>
      </c>
      <c r="C8" s="9" t="n">
        <v>15</v>
      </c>
      <c r="D8" s="11">
        <f>C8*B8</f>
        <v/>
      </c>
      <c r="I8" s="15" t="inlineStr">
        <is>
          <t>Adult Peak (2h)</t>
        </is>
      </c>
      <c r="J8" s="13">
        <f>J7*2</f>
        <v/>
      </c>
      <c r="K8" s="14" t="n">
        <v>0</v>
      </c>
      <c r="L8" s="13">
        <f>K8*J8</f>
        <v/>
      </c>
    </row>
    <row r="17">
      <c r="A17" s="16" t="inlineStr">
        <is>
          <t>Subtotal Food</t>
        </is>
      </c>
      <c r="D17" s="17">
        <f>SUM(D7:D15)</f>
        <v/>
      </c>
      <c r="E17" s="12" t="inlineStr">
        <is>
          <t>Subtotal</t>
        </is>
      </c>
      <c r="H17" s="18">
        <f> Sum(H7:H16)</f>
        <v/>
      </c>
      <c r="I17" s="12" t="inlineStr">
        <is>
          <t>Subtotal</t>
        </is>
      </c>
      <c r="L17" s="18">
        <f> Sum(L7:L15)</f>
        <v/>
      </c>
    </row>
    <row r="18">
      <c r="A18" s="19" t="inlineStr">
        <is>
          <t>Delivery Fee</t>
        </is>
      </c>
    </row>
    <row r="20">
      <c r="A20" s="16" t="inlineStr">
        <is>
          <t>Pretax Subtotal</t>
        </is>
      </c>
      <c r="D20" s="17">
        <f>SUM(D17:D19)</f>
        <v/>
      </c>
      <c r="E20" s="12" t="inlineStr">
        <is>
          <t>Pretax Subtotal</t>
        </is>
      </c>
      <c r="H20" s="18">
        <f>SUM(H17:H19)</f>
        <v/>
      </c>
      <c r="I20" s="12" t="inlineStr">
        <is>
          <t>Pretax Subtotal</t>
        </is>
      </c>
      <c r="L20" s="18">
        <f>SUM(L17:L19)</f>
        <v/>
      </c>
    </row>
    <row r="21">
      <c r="A21" s="20" t="inlineStr">
        <is>
          <t>Taxes (13%)</t>
        </is>
      </c>
      <c r="D21" s="11">
        <f>D20*0.13</f>
        <v/>
      </c>
      <c r="E21" s="15" t="inlineStr">
        <is>
          <t>Taxes (13%)</t>
        </is>
      </c>
      <c r="H21" s="13">
        <f>H20*0.13</f>
        <v/>
      </c>
      <c r="I21" s="15" t="inlineStr">
        <is>
          <t>Taxes (13%)</t>
        </is>
      </c>
      <c r="L21" s="13">
        <f>L20*0.13</f>
        <v/>
      </c>
    </row>
    <row r="23">
      <c r="A23" s="21" t="inlineStr">
        <is>
          <t xml:space="preserve">TOTAL </t>
        </is>
      </c>
      <c r="D23" s="22">
        <f>SUM(D20:D22)</f>
        <v/>
      </c>
      <c r="E23" s="5" t="inlineStr">
        <is>
          <t xml:space="preserve">TOTAL </t>
        </is>
      </c>
      <c r="H23" s="23">
        <f>SUM(H20:H22)</f>
        <v/>
      </c>
      <c r="I23" s="5" t="inlineStr">
        <is>
          <t>TOTAL (FOOD)</t>
        </is>
      </c>
      <c r="L23" s="23">
        <f>SUM(L20:L22)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2026-08-25T06:14:13Z</dcterms:created>
  <dcterms:modified xmlns:dcterms="http://purl.org/dc/terms/" xmlns:xsi="http://www.w3.org/2001/XMLSchema-instance" xsi:type="dcterms:W3CDTF">2026-08-25T06:14:13Z</dcterms:modified>
</cp:coreProperties>
</file>