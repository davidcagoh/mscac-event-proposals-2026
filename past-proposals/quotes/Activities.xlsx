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Bouldering &amp; Social Mixer (Feb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2F5233"/>
      <sz val="11"/>
    </font>
    <font>
      <name val="Arial"/>
      <b val="1"/>
      <color rgb="FF000000"/>
      <sz val="10"/>
    </font>
    <font>
      <name val="Arial"/>
      <b val="1"/>
      <color theme="1"/>
    </font>
    <font>
      <name val="Arial"/>
      <color rgb="FF1155CC"/>
      <u val="single"/>
    </font>
    <font>
      <name val="Arial"/>
      <b val="1"/>
      <color theme="1"/>
      <sz val="10"/>
    </font>
    <font>
      <name val="Arial"/>
      <color theme="1"/>
      <sz val="10"/>
    </font>
    <font>
      <name val="Arial"/>
      <color theme="1"/>
    </font>
    <font>
      <name val="Arial"/>
      <b val="1"/>
      <i val="1"/>
      <color theme="1"/>
      <sz val="10"/>
    </font>
  </fonts>
  <fills count="6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wrapText="1"/>
    </xf>
    <xf numFmtId="0" fontId="6" fillId="3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bottom" wrapText="1"/>
    </xf>
    <xf numFmtId="0" fontId="8" fillId="4" borderId="0" applyAlignment="1" pivotButton="0" quotePrefix="0" xfId="0">
      <alignment wrapText="1"/>
    </xf>
    <xf numFmtId="0" fontId="6" fillId="4" borderId="0" applyAlignment="1" pivotButton="0" quotePrefix="0" xfId="0">
      <alignment vertical="bottom" wrapText="1"/>
    </xf>
    <xf numFmtId="0" fontId="9" fillId="0" borderId="0" applyAlignment="1" pivotButton="0" quotePrefix="0" xfId="0">
      <alignment wrapText="1"/>
    </xf>
    <xf numFmtId="164" fontId="9" fillId="0" borderId="0" applyAlignment="1" pivotButton="0" quotePrefix="0" xfId="0">
      <alignment wrapText="1"/>
    </xf>
    <xf numFmtId="164" fontId="9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vertical="bottom"/>
    </xf>
    <xf numFmtId="164" fontId="10" fillId="0" borderId="0" applyAlignment="1" pivotButton="0" quotePrefix="0" xfId="0">
      <alignment horizontal="right" vertical="bottom" wrapText="1"/>
    </xf>
    <xf numFmtId="0" fontId="10" fillId="0" borderId="0" applyAlignment="1" pivotButton="0" quotePrefix="0" xfId="0">
      <alignment horizontal="right" vertical="bottom" wrapText="1"/>
    </xf>
    <xf numFmtId="0" fontId="10" fillId="0" borderId="0" applyAlignment="1" pivotButton="0" quotePrefix="0" xfId="0">
      <alignment vertical="bottom" wrapText="1"/>
    </xf>
    <xf numFmtId="0" fontId="9" fillId="0" borderId="0" pivotButton="0" quotePrefix="0" xfId="0"/>
    <xf numFmtId="164" fontId="9" fillId="0" borderId="0" pivotButton="0" quotePrefix="0" xfId="0"/>
    <xf numFmtId="164" fontId="10" fillId="0" borderId="0" applyAlignment="1" pivotButton="0" quotePrefix="0" xfId="0">
      <alignment horizontal="right" vertical="bottom"/>
    </xf>
    <xf numFmtId="0" fontId="11" fillId="0" borderId="0" pivotButton="0" quotePrefix="0" xfId="0"/>
    <xf numFmtId="0" fontId="9" fillId="0" borderId="0" applyAlignment="1" pivotButton="0" quotePrefix="0" xfId="0">
      <alignment horizontal="left" wrapText="1"/>
    </xf>
    <xf numFmtId="0" fontId="8" fillId="5" borderId="0" applyAlignment="1" pivotButton="0" quotePrefix="0" xfId="0">
      <alignment wrapText="1"/>
    </xf>
    <xf numFmtId="164" fontId="8" fillId="5" borderId="0" applyAlignment="1" pivotButton="0" quotePrefix="0" xfId="0">
      <alignment horizontal="right" wrapText="1"/>
    </xf>
    <xf numFmtId="164" fontId="6" fillId="3" borderId="0" applyAlignment="1" pivotButton="0" quotePrefix="0" xfId="0">
      <alignment horizontal="right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TEMPLATE — copy this sheet for a new event</t>
        </is>
      </c>
    </row>
    <row r="3">
      <c r="A3" s="2" t="inlineStr">
        <is>
          <t>Vendor 1 Name</t>
        </is>
      </c>
      <c r="E3" s="2" t="inlineStr">
        <is>
          <t>Vendor 2 Name</t>
        </is>
      </c>
      <c r="I3" s="2" t="inlineStr">
        <is>
          <t>Vendor 3 Name</t>
        </is>
      </c>
    </row>
    <row r="4">
      <c r="A4" s="3" t="inlineStr">
        <is>
          <t>Item</t>
        </is>
      </c>
      <c r="B4" s="3" t="inlineStr">
        <is>
          <t>Cost price</t>
        </is>
      </c>
      <c r="C4" s="3" t="inlineStr">
        <is>
          <t>Amount</t>
        </is>
      </c>
      <c r="D4" s="3" t="inlineStr">
        <is>
          <t>Sum</t>
        </is>
      </c>
      <c r="E4" s="3" t="inlineStr">
        <is>
          <t>Item</t>
        </is>
      </c>
      <c r="F4" s="3" t="inlineStr">
        <is>
          <t>Cost price</t>
        </is>
      </c>
      <c r="G4" s="3" t="inlineStr">
        <is>
          <t>Amount</t>
        </is>
      </c>
      <c r="H4" s="3" t="inlineStr">
        <is>
          <t>Sum</t>
        </is>
      </c>
      <c r="I4" s="3" t="inlineStr">
        <is>
          <t>Item</t>
        </is>
      </c>
      <c r="J4" s="3" t="inlineStr">
        <is>
          <t>Cost price</t>
        </is>
      </c>
      <c r="K4" s="3" t="inlineStr">
        <is>
          <t>Amount</t>
        </is>
      </c>
      <c r="L4" s="3" t="inlineStr">
        <is>
          <t>Sum</t>
        </is>
      </c>
    </row>
    <row r="5">
      <c r="D5">
        <f>B5*C5</f>
        <v/>
      </c>
      <c r="H5">
        <f>F5*G5</f>
        <v/>
      </c>
      <c r="L5">
        <f>J5*K5</f>
        <v/>
      </c>
    </row>
    <row r="6">
      <c r="D6">
        <f>B6*C6</f>
        <v/>
      </c>
      <c r="H6">
        <f>F6*G6</f>
        <v/>
      </c>
      <c r="L6">
        <f>J6*K6</f>
        <v/>
      </c>
    </row>
    <row r="7">
      <c r="D7">
        <f>B7*C7</f>
        <v/>
      </c>
      <c r="H7">
        <f>F7*G7</f>
        <v/>
      </c>
      <c r="L7">
        <f>J7*K7</f>
        <v/>
      </c>
    </row>
    <row r="8">
      <c r="D8">
        <f>B8*C8</f>
        <v/>
      </c>
      <c r="H8">
        <f>F8*G8</f>
        <v/>
      </c>
      <c r="L8">
        <f>J8*K8</f>
        <v/>
      </c>
    </row>
    <row r="9">
      <c r="D9">
        <f>B9*C9</f>
        <v/>
      </c>
      <c r="H9">
        <f>F9*G9</f>
        <v/>
      </c>
      <c r="L9">
        <f>J9*K9</f>
        <v/>
      </c>
    </row>
    <row r="10">
      <c r="D10">
        <f>B10*C10</f>
        <v/>
      </c>
      <c r="H10">
        <f>F10*G10</f>
        <v/>
      </c>
      <c r="L10">
        <f>J10*K10</f>
        <v/>
      </c>
    </row>
    <row r="11">
      <c r="D11">
        <f>B11*C11</f>
        <v/>
      </c>
      <c r="H11">
        <f>F11*G11</f>
        <v/>
      </c>
      <c r="L11">
        <f>J11*K11</f>
        <v/>
      </c>
    </row>
    <row r="12">
      <c r="D12">
        <f>B12*C12</f>
        <v/>
      </c>
      <c r="H12">
        <f>F12*G12</f>
        <v/>
      </c>
      <c r="L12">
        <f>J12*K12</f>
        <v/>
      </c>
    </row>
    <row r="13">
      <c r="D13">
        <f>B13*C13</f>
        <v/>
      </c>
      <c r="H13">
        <f>F13*G13</f>
        <v/>
      </c>
      <c r="L13">
        <f>J13*K13</f>
        <v/>
      </c>
    </row>
    <row r="14">
      <c r="D14">
        <f>B14*C14</f>
        <v/>
      </c>
      <c r="H14">
        <f>F14*G14</f>
        <v/>
      </c>
      <c r="L14">
        <f>J14*K14</f>
        <v/>
      </c>
    </row>
    <row r="16">
      <c r="A16" s="2" t="inlineStr">
        <is>
          <t>Subtotal Food</t>
        </is>
      </c>
      <c r="D16">
        <f>SUM(D5:D14)</f>
        <v/>
      </c>
      <c r="E16" s="2" t="inlineStr">
        <is>
          <t>Subtotal Food</t>
        </is>
      </c>
      <c r="H16">
        <f>SUM(H5:H14)</f>
        <v/>
      </c>
      <c r="I16" s="2" t="inlineStr">
        <is>
          <t>Subtotal Food</t>
        </is>
      </c>
      <c r="L16">
        <f>SUM(L5:L14)</f>
        <v/>
      </c>
    </row>
    <row r="17">
      <c r="A17" s="2" t="inlineStr">
        <is>
          <t>Delivery Fee</t>
        </is>
      </c>
      <c r="E17" s="2" t="inlineStr">
        <is>
          <t>Delivery Fee</t>
        </is>
      </c>
      <c r="I17" s="2" t="inlineStr">
        <is>
          <t>Delivery Fee</t>
        </is>
      </c>
    </row>
    <row r="18">
      <c r="A18" s="2" t="inlineStr">
        <is>
          <t>Platform Fee</t>
        </is>
      </c>
      <c r="E18" s="2" t="inlineStr">
        <is>
          <t>Platform Fee</t>
        </is>
      </c>
      <c r="I18" s="2" t="inlineStr">
        <is>
          <t>Platform Fee</t>
        </is>
      </c>
    </row>
    <row r="20">
      <c r="A20" s="2" t="inlineStr">
        <is>
          <t>Pretax Subtotal</t>
        </is>
      </c>
      <c r="D20">
        <f>SUM(D16:D19)</f>
        <v/>
      </c>
      <c r="E20" s="2" t="inlineStr">
        <is>
          <t>Pretax Subtotal</t>
        </is>
      </c>
      <c r="H20">
        <f>SUM(H16:H19)</f>
        <v/>
      </c>
      <c r="I20" s="2" t="inlineStr">
        <is>
          <t>Pretax Subtotal</t>
        </is>
      </c>
      <c r="L20">
        <f>SUM(L16:L19)</f>
        <v/>
      </c>
    </row>
    <row r="21">
      <c r="A21" s="2" t="inlineStr">
        <is>
          <t>Taxes (13%)</t>
        </is>
      </c>
      <c r="D21">
        <f>D20*0.13</f>
        <v/>
      </c>
      <c r="E21" s="2" t="inlineStr">
        <is>
          <t>Taxes (13%)</t>
        </is>
      </c>
      <c r="H21">
        <f>H20*0.13</f>
        <v/>
      </c>
      <c r="I21" s="2" t="inlineStr">
        <is>
          <t>Taxes (13%)</t>
        </is>
      </c>
      <c r="L21">
        <f>L20*0.13</f>
        <v/>
      </c>
    </row>
    <row r="22">
      <c r="A22" s="2" t="inlineStr">
        <is>
          <t>TOTAL</t>
        </is>
      </c>
      <c r="D22">
        <f>SUM(D20:D21)</f>
        <v/>
      </c>
      <c r="E22" s="2" t="inlineStr">
        <is>
          <t>TOTAL</t>
        </is>
      </c>
      <c r="H22">
        <f>SUM(H20:H21)</f>
        <v/>
      </c>
      <c r="I22" s="2" t="inlineStr">
        <is>
          <t>TOTAL</t>
        </is>
      </c>
      <c r="L22">
        <f>SUM(L20:L21)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9.63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Bouldering &amp; Social Mixer (Feb 6 2026)</t>
        </is>
      </c>
    </row>
    <row r="3">
      <c r="A3" s="4" t="inlineStr">
        <is>
          <t>— Bouldering Gym —</t>
        </is>
      </c>
    </row>
    <row r="5">
      <c r="A5" s="5" t="inlineStr">
        <is>
          <t>Basecamp Climbing @ Queen Street</t>
        </is>
      </c>
      <c r="E5" s="6" t="inlineStr">
        <is>
          <t>Axe Throwing @ BATL Grounds</t>
        </is>
      </c>
      <c r="I5" s="6" t="inlineStr">
        <is>
          <t>Bowling @ The Ballroom Bowl Yorkville</t>
        </is>
      </c>
      <c r="L5" s="7" t="inlineStr">
        <is>
          <t>Link</t>
        </is>
      </c>
    </row>
    <row r="6">
      <c r="A6" s="8" t="inlineStr">
        <is>
          <t>Item</t>
        </is>
      </c>
      <c r="B6" s="8" t="inlineStr">
        <is>
          <t>Cost price</t>
        </is>
      </c>
      <c r="C6" s="8" t="inlineStr">
        <is>
          <t>Amount</t>
        </is>
      </c>
      <c r="D6" s="8" t="inlineStr">
        <is>
          <t>Sum</t>
        </is>
      </c>
      <c r="E6" s="9" t="inlineStr">
        <is>
          <t>Item</t>
        </is>
      </c>
      <c r="F6" s="9" t="inlineStr">
        <is>
          <t>Cost price</t>
        </is>
      </c>
      <c r="G6" s="9" t="inlineStr">
        <is>
          <t>Amount</t>
        </is>
      </c>
      <c r="H6" s="9" t="inlineStr">
        <is>
          <t>Sum</t>
        </is>
      </c>
      <c r="I6" s="9" t="inlineStr">
        <is>
          <t>Item</t>
        </is>
      </c>
      <c r="J6" s="9" t="inlineStr">
        <is>
          <t>Cost price</t>
        </is>
      </c>
      <c r="K6" s="9" t="inlineStr">
        <is>
          <t>Amount</t>
        </is>
      </c>
      <c r="L6" s="9" t="inlineStr">
        <is>
          <t>Sum</t>
        </is>
      </c>
    </row>
    <row r="7">
      <c r="A7" s="10" t="inlineStr">
        <is>
          <t>Day Pass (Student)</t>
        </is>
      </c>
      <c r="B7" s="11" t="n">
        <v>25</v>
      </c>
      <c r="C7" s="10" t="n">
        <v>15</v>
      </c>
      <c r="D7" s="12">
        <f>C7*B7</f>
        <v/>
      </c>
      <c r="E7" s="13" t="inlineStr">
        <is>
          <t>Play 2 Bundle (90min)</t>
        </is>
      </c>
      <c r="F7" s="14" t="n">
        <v>37.99</v>
      </c>
      <c r="G7" s="15" t="n">
        <v>15</v>
      </c>
      <c r="H7" s="14">
        <f>G7*F7</f>
        <v/>
      </c>
      <c r="I7" s="16" t="inlineStr">
        <is>
          <t>Adult Peak (1h)</t>
        </is>
      </c>
      <c r="J7" s="14" t="n">
        <v>32.5</v>
      </c>
      <c r="K7" s="15" t="n">
        <v>15</v>
      </c>
      <c r="L7" s="14">
        <f>K7*J7</f>
        <v/>
      </c>
    </row>
    <row r="8">
      <c r="A8" s="10" t="inlineStr">
        <is>
          <t>Shoe Rental</t>
        </is>
      </c>
      <c r="B8" s="11" t="n">
        <v>7</v>
      </c>
      <c r="C8" s="10" t="n">
        <v>15</v>
      </c>
      <c r="D8" s="12">
        <f>C8*B8</f>
        <v/>
      </c>
      <c r="I8" s="16" t="inlineStr">
        <is>
          <t>Adult Peak (2h)</t>
        </is>
      </c>
      <c r="J8" s="14">
        <f>J7*2</f>
        <v/>
      </c>
      <c r="K8" s="15" t="n">
        <v>0</v>
      </c>
      <c r="L8" s="14">
        <f>K8*J8</f>
        <v/>
      </c>
    </row>
    <row r="17">
      <c r="A17" s="17" t="inlineStr">
        <is>
          <t>Subtotal Food</t>
        </is>
      </c>
      <c r="D17" s="18">
        <f>SUM(D7:D15)</f>
        <v/>
      </c>
      <c r="E17" s="13" t="inlineStr">
        <is>
          <t>Subtotal</t>
        </is>
      </c>
      <c r="H17" s="19">
        <f> Sum(H7:H16)</f>
        <v/>
      </c>
      <c r="I17" s="13" t="inlineStr">
        <is>
          <t>Subtotal</t>
        </is>
      </c>
      <c r="L17" s="19">
        <f> Sum(L7:L15)</f>
        <v/>
      </c>
    </row>
    <row r="18">
      <c r="A18" s="20" t="inlineStr">
        <is>
          <t>Delivery Fee</t>
        </is>
      </c>
    </row>
    <row r="20">
      <c r="A20" s="17" t="inlineStr">
        <is>
          <t>Pretax Subtotal</t>
        </is>
      </c>
      <c r="D20" s="18">
        <f>SUM(D17:D19)</f>
        <v/>
      </c>
      <c r="E20" s="13" t="inlineStr">
        <is>
          <t>Pretax Subtotal</t>
        </is>
      </c>
      <c r="H20" s="19">
        <f>SUM(H17:H19)</f>
        <v/>
      </c>
      <c r="I20" s="13" t="inlineStr">
        <is>
          <t>Pretax Subtotal</t>
        </is>
      </c>
      <c r="L20" s="19">
        <f>SUM(L17:L19)</f>
        <v/>
      </c>
    </row>
    <row r="21">
      <c r="A21" s="21" t="inlineStr">
        <is>
          <t>Taxes (13%)</t>
        </is>
      </c>
      <c r="D21" s="12">
        <f>D20*0.13</f>
        <v/>
      </c>
      <c r="E21" s="16" t="inlineStr">
        <is>
          <t>Taxes (13%)</t>
        </is>
      </c>
      <c r="H21" s="14">
        <f>H20*0.13</f>
        <v/>
      </c>
      <c r="I21" s="16" t="inlineStr">
        <is>
          <t>Taxes (13%)</t>
        </is>
      </c>
      <c r="L21" s="14">
        <f>L20*0.13</f>
        <v/>
      </c>
    </row>
    <row r="23">
      <c r="A23" s="22" t="inlineStr">
        <is>
          <t xml:space="preserve">TOTAL </t>
        </is>
      </c>
      <c r="D23" s="23">
        <f>SUM(D20:D22)</f>
        <v/>
      </c>
      <c r="E23" s="6" t="inlineStr">
        <is>
          <t xml:space="preserve">TOTAL </t>
        </is>
      </c>
      <c r="H23" s="24">
        <f>SUM(H20:H22)</f>
        <v/>
      </c>
      <c r="I23" s="6" t="inlineStr">
        <is>
          <t>TOTAL (FOOD)</t>
        </is>
      </c>
      <c r="L23" s="24">
        <f>SUM(L20:L22)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2026-08-25T06:17:47Z</dcterms:created>
  <dcterms:modified xmlns:dcterms="http://purl.org/dc/terms/" xmlns:xsi="http://www.w3.org/2001/XMLSchema-instance" xsi:type="dcterms:W3CDTF">2026-08-25T06:17:47Z</dcterms:modified>
</cp:coreProperties>
</file>