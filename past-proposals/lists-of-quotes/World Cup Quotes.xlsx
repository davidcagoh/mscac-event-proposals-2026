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<sst xmlns="http://schemas.openxmlformats.org/spreadsheetml/2006/main" count="76" uniqueCount="48">
  <si>
    <t>Mother's Dumplings</t>
  </si>
  <si>
    <t>Item</t>
  </si>
  <si>
    <t>Cost price</t>
  </si>
  <si>
    <t>Amount</t>
  </si>
  <si>
    <t>Sum</t>
  </si>
  <si>
    <t>J11 Chicken</t>
  </si>
  <si>
    <t>House of Gourmet via Uber</t>
  </si>
  <si>
    <t>J19 Beef Broccoli</t>
  </si>
  <si>
    <t>J5 Tomato Egg</t>
  </si>
  <si>
    <t>A5 Veggie Dumplings</t>
  </si>
  <si>
    <t>C2 Pork Melon Dumpling</t>
  </si>
  <si>
    <t>Canteen via Uber</t>
  </si>
  <si>
    <t>G1 Plain Rice</t>
  </si>
  <si>
    <t>Butter Chicken Factory - 560 Parliament St</t>
  </si>
  <si>
    <t>D2 Green Onion pancake</t>
  </si>
  <si>
    <t>Subtotal Food</t>
  </si>
  <si>
    <t>Delivery Fee</t>
  </si>
  <si>
    <t>Pretax Subtotal</t>
  </si>
  <si>
    <t>Fried Noodle with Bean Sprout 芽菜仔炒麵</t>
  </si>
  <si>
    <t>Taxes (13%)</t>
  </si>
  <si>
    <t>Hainanese Chicken on Rice</t>
  </si>
  <si>
    <t>Tip (15%)</t>
  </si>
  <si>
    <t>Veg Biryani</t>
  </si>
  <si>
    <t>TOTAL (FOOD)</t>
  </si>
  <si>
    <t>plates pleasseeee</t>
  </si>
  <si>
    <t>receipt with final amt --&gt; alice</t>
  </si>
  <si>
    <t>Chicken Fried Rice 雞粒炒飯</t>
  </si>
  <si>
    <t>Nasi Lemak</t>
  </si>
  <si>
    <t xml:space="preserve">Garlic Naan </t>
  </si>
  <si>
    <t>Sliced Beef with Black Bean Sauce 豉椒牛肉</t>
  </si>
  <si>
    <t>Baked Spaghetti with Minced Beef &amp; Cheese</t>
  </si>
  <si>
    <t>Butter Chicken</t>
  </si>
  <si>
    <t>Sweet and Sour Pork with Pineapple 菠蘿咕嚕肉</t>
  </si>
  <si>
    <t>Malaysian Stur Fried Hokkien Noodles</t>
  </si>
  <si>
    <t>Paneer Tikka Masala</t>
  </si>
  <si>
    <t>Deep-Fried Bean Curd with Broccoli and Black Mushroom 紅燒豆腐</t>
  </si>
  <si>
    <t>Baked Fish with Spinach &amp; Bacon in Cream Sauce &amp; Cheese on Rice</t>
  </si>
  <si>
    <t>Palak Paneer</t>
  </si>
  <si>
    <t>Vegetarian Egg Roll 素蛋卷 x1</t>
  </si>
  <si>
    <t>Baked Spaghetti with Ham, Chicken &amp; Cheese in Tomato Sauce</t>
  </si>
  <si>
    <t>Deep-Fried Breaded Jumbo Shrimp 脆皮炸明蝦</t>
  </si>
  <si>
    <t>Honey Garlic Wings with Fries (8pc)</t>
  </si>
  <si>
    <t>Onion Rings</t>
  </si>
  <si>
    <t>Beverage</t>
  </si>
  <si>
    <t>Service Fee</t>
  </si>
  <si>
    <t>Platform Fee</t>
  </si>
  <si>
    <t>Taxes (13%) (none if paying with cash//E-Transfer)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</si>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</sst>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color rgb="FF1F1F1F"/>
      <name val="Arial"/>
    </font>
    <font>
      <color theme="1"/>
      <name val="Arial"/>
    </font>
    <font>
      <b/>
      <color theme="1"/>
      <name val="Arial"/>
    </font>
    <font>
      <b/>
      <u/>
      <color rgb="FF1155CC"/>
      <name val="Arial"/>
    </font>
    <font>
      <color rgb="FF1C1E21"/>
      <name val="Arial"/>
    </font>
    <font>
      <b/>
      <i/>
      <color theme="1"/>
      <name val="Arial"/>
    </font>
    <font>
      <color rgb="FF434343"/>
      <name val="Roboto"/>
    </font>
    <font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</fills>
  <borders count="1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2" fontId="4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0" fillId="0" fontId="2" numFmtId="164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4" fontId="3" numFmtId="0" xfId="0" applyAlignment="1" applyFill="1" applyFont="1">
      <alignment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1" fillId="4" fontId="2" numFmtId="0" xfId="0" applyAlignment="1" applyBorder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2" numFmtId="0" xfId="0" applyAlignment="1" applyFont="1">
      <alignment readingOrder="0" vertical="bottom"/>
    </xf>
    <xf borderId="2" fillId="3" fontId="7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3" fillId="3" fontId="8" numFmtId="164" xfId="0" applyAlignment="1" applyBorder="1" applyFill="1" applyFont="1" applyNumberFormat="1">
      <alignment horizontal="right" shrinkToFit="0" vertical="bottom" wrapText="1"/>
    </xf>
    <xf borderId="0" fillId="3" fontId="2" numFmtId="0" xfId="0" applyAlignment="1" applyFill="1" applyFont="1">
      <alignment horizontal="right" readingOrder="0" shrinkToFit="0" vertical="bottom" wrapText="1"/>
    </xf>
    <xf borderId="1" fillId="2" fontId="3" numFmtId="164" xfId="0" applyAlignment="1" applyBorder="1" applyFill="1" applyFont="1" applyNumberFormat="1">
      <alignment horizontal="right" shrinkToFit="0" vertical="bottom" wrapText="1"/>
    </xf>
    <xf borderId="0" fillId="3" fontId="2" numFmtId="164" xfId="0" applyAlignment="1" applyFill="1" applyFont="1" applyNumberFormat="1">
      <alignment horizontal="right" shrinkToFit="0" vertical="bottom" wrapText="1"/>
    </xf>
    <xf borderId="0" fillId="0" fontId="9" numFmtId="0" xfId="0" applyAlignment="1" applyFont="1">
      <alignment readingOrder="0"/>
    </xf>
    <xf borderId="0" fillId="3" fontId="2" numFmtId="0" xfId="0" applyAlignment="1" applyFill="1" applyFont="1">
      <alignment horizontal="right" shrinkToFit="0" vertical="bottom" wrapText="1"/>
    </xf>
    <xf borderId="2" fillId="3" fontId="2" numFmtId="0" xfId="0" applyAlignment="1" applyBorder="1" applyFill="1" applyFont="1">
      <alignment vertical="bottom"/>
    </xf>
    <xf borderId="3" fillId="3" fontId="2" numFmtId="164" xfId="0" applyAlignment="1" applyBorder="1" applyFill="1" applyFont="1" applyNumberFormat="1">
      <alignment vertical="bottom"/>
    </xf>
    <xf borderId="4" fillId="3" fontId="2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shrinkToFit="0" vertical="bottom" wrapText="1"/>
    </xf>
    <xf borderId="6" fillId="5" fontId="8" numFmtId="164" xfId="0" applyAlignment="1" applyBorder="1" applyFill="1" applyFont="1" applyNumberFormat="1">
      <alignment horizontal="right" shrinkToFit="0" vertical="bottom" wrapText="1"/>
    </xf>
    <xf borderId="0" fillId="5" fontId="2" numFmtId="0" xfId="0" applyAlignment="1" applyFill="1" applyFont="1">
      <alignment horizontal="right" readingOrder="0" shrinkToFit="0" vertical="bottom" wrapText="1"/>
    </xf>
    <xf borderId="0" fillId="5" fontId="2" numFmtId="164" xfId="0" applyAlignment="1" applyFill="1" applyFont="1" applyNumberFormat="1">
      <alignment horizontal="right" shrinkToFit="0" vertical="bottom" wrapText="1"/>
    </xf>
    <xf borderId="0" fillId="5" fontId="2" numFmtId="0" xfId="0" applyAlignment="1" applyFill="1" applyFont="1">
      <alignment horizontal="right" shrinkToFit="0" vertical="bottom" wrapText="1"/>
    </xf>
    <xf borderId="5" fillId="5" fontId="2" numFmtId="0" xfId="0" applyAlignment="1" applyBorder="1" applyFill="1" applyFont="1">
      <alignment vertical="bottom"/>
    </xf>
    <xf borderId="6" fillId="5" fontId="2" numFmtId="164" xfId="0" applyAlignment="1" applyBorder="1" applyFill="1" applyFont="1" applyNumberFormat="1">
      <alignment vertical="bottom"/>
    </xf>
    <xf borderId="7" fillId="5" fontId="2" numFmtId="0" xfId="0" applyAlignment="1" applyBorder="1" applyFill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2" fillId="3" fontId="5" numFmtId="0" xfId="0" applyAlignment="1" applyBorder="1" applyFill="1" applyFont="1">
      <alignment shrinkToFit="0" vertical="bottom" wrapText="1"/>
    </xf>
    <xf borderId="2" fillId="5" fontId="8" numFmtId="0" xfId="0" applyAlignment="1" applyBorder="1" applyFill="1" applyFont="1">
      <alignment shrinkToFit="0" vertical="bottom" wrapText="1"/>
    </xf>
    <xf borderId="3" fillId="5" fontId="8" numFmtId="164" xfId="0" applyAlignment="1" applyBorder="1" applyFill="1" applyFont="1" applyNumberFormat="1">
      <alignment horizontal="right" shrinkToFit="0" vertical="bottom" wrapText="1"/>
    </xf>
    <xf borderId="2" fillId="5" fontId="2" numFmtId="0" xfId="0" applyAlignment="1" applyBorder="1" applyFill="1" applyFont="1">
      <alignment vertical="bottom"/>
    </xf>
    <xf borderId="3" fillId="5" fontId="2" numFmtId="164" xfId="0" applyAlignment="1" applyBorder="1" applyFill="1" applyFont="1" applyNumberFormat="1">
      <alignment vertical="bottom"/>
    </xf>
    <xf borderId="4" fillId="5" fontId="2" numFmtId="0" xfId="0" applyAlignment="1" applyBorder="1" applyFill="1" applyFont="1">
      <alignment vertical="bottom"/>
    </xf>
    <xf borderId="5" fillId="3" fontId="8" numFmtId="0" xfId="0" applyAlignment="1" applyBorder="1" applyFill="1" applyFont="1">
      <alignment shrinkToFit="0" vertical="bottom" wrapText="1"/>
    </xf>
    <xf borderId="6" fillId="3" fontId="8" numFmtId="164" xfId="0" applyAlignment="1" applyBorder="1" applyFill="1" applyFont="1" applyNumberFormat="1">
      <alignment horizontal="right" shrinkToFit="0" vertical="bottom" wrapText="1"/>
    </xf>
    <xf borderId="5" fillId="3" fontId="2" numFmtId="0" xfId="0" applyAlignment="1" applyBorder="1" applyFill="1" applyFont="1">
      <alignment vertical="bottom"/>
    </xf>
    <xf borderId="6" fillId="3" fontId="2" numFmtId="164" xfId="0" applyAlignment="1" applyBorder="1" applyFill="1" applyFont="1" applyNumberFormat="1">
      <alignment vertical="bottom"/>
    </xf>
    <xf borderId="7" fillId="3" fontId="2" numFmtId="0" xfId="0" applyAlignment="1" applyBorder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164" xfId="0" applyAlignment="1" applyFill="1" applyFont="1" applyNumberFormat="1">
      <alignment vertical="bottom"/>
    </xf>
    <xf borderId="0" fillId="5" fontId="2" numFmtId="164" xfId="0" applyAlignment="1" applyFill="1" applyFont="1" applyNumberFormat="1">
      <alignment vertical="bottom"/>
    </xf>
    <xf borderId="8" fillId="5" fontId="2" numFmtId="0" xfId="0" applyAlignment="1" applyBorder="1" applyFill="1" applyFont="1">
      <alignment vertical="bottom"/>
    </xf>
    <xf borderId="9" fillId="5" fontId="2" numFmtId="164" xfId="0" applyAlignment="1" applyBorder="1" applyFill="1" applyFont="1" applyNumberFormat="1">
      <alignment vertical="bottom"/>
    </xf>
    <xf borderId="10" fillId="5" fontId="2" numFmtId="0" xfId="0" applyAlignment="1" applyBorder="1" applyFill="1" applyFont="1">
      <alignment vertical="bottom"/>
    </xf>
    <xf borderId="9" fillId="3" fontId="2" numFmtId="164" xfId="0" applyAlignment="1" applyBorder="1" applyFill="1" applyFont="1" applyNumberFormat="1">
      <alignment vertical="bottom"/>
    </xf>
    <xf borderId="0" fillId="5" fontId="2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2" numFmtId="9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3:L1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M3:S1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der.store/ca/store/house-of-gourmet-%E6%BB%BF%E5%BA%AD%E8%8A%B3/PWLr88h5Q0C7sKByRHdT4g?diningMode=DELIVERY" TargetMode="External"/><Relationship Id="rId2" Type="http://schemas.openxmlformats.org/officeDocument/2006/relationships/hyperlink" Target="https://order.toasttab.com/online/butter-chicken-factory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</v>
      </c>
      <c r="B1" s="2"/>
      <c r="C1" s="3"/>
      <c r="D1" s="2"/>
      <c r="E1" s="11" t="s">
        <v>11</v>
      </c>
      <c r="F1" s="2"/>
      <c r="G1" s="3"/>
      <c r="H1" s="2"/>
      <c r="I1" s="9" t="s">
        <v>13</v>
      </c>
      <c r="J1" s="2"/>
      <c r="K1" s="13"/>
      <c r="L1" s="2"/>
      <c r="M1" s="9"/>
      <c r="N1" s="2"/>
      <c r="O1" s="13"/>
      <c r="P1" s="2"/>
      <c r="Q1" s="11"/>
      <c r="R1" s="2"/>
      <c r="S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1</v>
      </c>
      <c r="F2" s="4" t="s">
        <v>2</v>
      </c>
      <c r="G2" s="4" t="s">
        <v>3</v>
      </c>
      <c r="H2" s="4" t="s">
        <v>4</v>
      </c>
      <c r="I2" s="17" t="s">
        <v>1</v>
      </c>
      <c r="J2" s="17" t="s">
        <v>2</v>
      </c>
      <c r="K2" s="17" t="s">
        <v>3</v>
      </c>
      <c r="L2" s="17" t="s">
        <v>4</v>
      </c>
      <c r="M2" s="17"/>
      <c r="N2" s="17"/>
      <c r="O2" s="17"/>
      <c r="P2" s="17"/>
      <c r="Q2" s="19"/>
      <c r="R2" s="19"/>
      <c r="S2" s="19"/>
    </row>
    <row r="3">
      <c r="A3" s="20" t="s">
        <v>18</v>
      </c>
      <c r="B3" s="21">
        <v>16.99</v>
      </c>
      <c r="C3" s="16">
        <v>2.0</v>
      </c>
      <c r="D3" s="8">
        <f t="shared" ref="D3:D9" si="1">C3*B3</f>
        <v>33.98</v>
      </c>
      <c r="E3" s="2" t="s">
        <v>20</v>
      </c>
      <c r="F3" s="8">
        <v>17.0</v>
      </c>
      <c r="G3" s="16">
        <v>2.0</v>
      </c>
      <c r="H3" s="8">
        <f t="shared" ref="H3:H12" si="2">G3*F3</f>
        <v>34</v>
      </c>
      <c r="I3" s="23" t="s">
        <v>22</v>
      </c>
      <c r="J3" s="25">
        <v>26.4</v>
      </c>
      <c r="K3" s="26">
        <v>2.0</v>
      </c>
      <c r="L3" s="28">
        <f t="shared" ref="L3:L7" si="3">K3*J3</f>
        <v>52.8</v>
      </c>
      <c r="M3" s="23"/>
      <c r="N3" s="25"/>
      <c r="O3" s="30"/>
      <c r="P3" s="28"/>
      <c r="Q3" s="31"/>
      <c r="R3" s="32"/>
      <c r="S3" s="33"/>
    </row>
    <row r="4">
      <c r="A4" s="20" t="s">
        <v>26</v>
      </c>
      <c r="B4" s="21">
        <v>17.5</v>
      </c>
      <c r="C4" s="16">
        <v>3.0</v>
      </c>
      <c r="D4" s="8">
        <f t="shared" si="1"/>
        <v>52.5</v>
      </c>
      <c r="E4" s="2" t="s">
        <v>27</v>
      </c>
      <c r="F4" s="8">
        <v>17.0</v>
      </c>
      <c r="G4" s="16">
        <v>2.0</v>
      </c>
      <c r="H4" s="8">
        <f t="shared" si="2"/>
        <v>34</v>
      </c>
      <c r="I4" s="34" t="s">
        <v>28</v>
      </c>
      <c r="J4" s="35">
        <v>7.2</v>
      </c>
      <c r="K4" s="36">
        <v>2.0</v>
      </c>
      <c r="L4" s="37">
        <f t="shared" si="3"/>
        <v>14.4</v>
      </c>
      <c r="M4" s="34"/>
      <c r="N4" s="35"/>
      <c r="O4" s="38"/>
      <c r="P4" s="37"/>
      <c r="Q4" s="39"/>
      <c r="R4" s="40"/>
      <c r="S4" s="41"/>
    </row>
    <row r="5">
      <c r="A5" s="42" t="s">
        <v>29</v>
      </c>
      <c r="B5" s="21">
        <v>18.99</v>
      </c>
      <c r="C5" s="16">
        <v>2.0</v>
      </c>
      <c r="D5" s="8">
        <f t="shared" si="1"/>
        <v>37.98</v>
      </c>
      <c r="E5" s="43" t="s">
        <v>30</v>
      </c>
      <c r="F5" s="8">
        <v>15.0</v>
      </c>
      <c r="G5" s="16">
        <v>2.0</v>
      </c>
      <c r="H5" s="8">
        <f t="shared" si="2"/>
        <v>30</v>
      </c>
      <c r="I5" s="44" t="s">
        <v>31</v>
      </c>
      <c r="J5" s="25">
        <v>26.4</v>
      </c>
      <c r="K5" s="30">
        <v>3.0</v>
      </c>
      <c r="L5" s="28">
        <f t="shared" si="3"/>
        <v>79.2</v>
      </c>
      <c r="M5" s="44"/>
      <c r="N5" s="25"/>
      <c r="O5" s="30"/>
      <c r="P5" s="28"/>
      <c r="Q5" s="31"/>
      <c r="R5" s="32"/>
      <c r="S5" s="33"/>
    </row>
    <row r="6">
      <c r="A6" s="20" t="s">
        <v>32</v>
      </c>
      <c r="B6" s="21">
        <v>18.5</v>
      </c>
      <c r="C6" s="16">
        <v>3.0</v>
      </c>
      <c r="D6" s="8">
        <f t="shared" si="1"/>
        <v>55.5</v>
      </c>
      <c r="E6" s="2" t="s">
        <v>33</v>
      </c>
      <c r="F6" s="8">
        <v>17.0</v>
      </c>
      <c r="G6" s="16">
        <v>2.0</v>
      </c>
      <c r="H6" s="8">
        <f t="shared" si="2"/>
        <v>34</v>
      </c>
      <c r="I6" s="45" t="s">
        <v>34</v>
      </c>
      <c r="J6" s="46">
        <v>24.0</v>
      </c>
      <c r="K6" s="38">
        <v>2.0</v>
      </c>
      <c r="L6" s="37">
        <f t="shared" si="3"/>
        <v>48</v>
      </c>
      <c r="M6" s="45"/>
      <c r="N6" s="46"/>
      <c r="O6" s="38"/>
      <c r="P6" s="37"/>
      <c r="Q6" s="47"/>
      <c r="R6" s="48"/>
      <c r="S6" s="49"/>
    </row>
    <row r="7">
      <c r="A7" s="20" t="s">
        <v>35</v>
      </c>
      <c r="B7" s="21">
        <v>17.99</v>
      </c>
      <c r="C7" s="16">
        <v>2.0</v>
      </c>
      <c r="D7" s="8">
        <f t="shared" si="1"/>
        <v>35.98</v>
      </c>
      <c r="E7" s="2" t="s">
        <v>36</v>
      </c>
      <c r="F7" s="8">
        <v>17.0</v>
      </c>
      <c r="G7" s="16">
        <v>2.0</v>
      </c>
      <c r="H7" s="8">
        <f t="shared" si="2"/>
        <v>34</v>
      </c>
      <c r="I7" s="50" t="s">
        <v>37</v>
      </c>
      <c r="J7" s="51">
        <v>24.0</v>
      </c>
      <c r="K7" s="30">
        <v>2.0</v>
      </c>
      <c r="L7" s="28">
        <f t="shared" si="3"/>
        <v>48</v>
      </c>
      <c r="M7" s="50"/>
      <c r="N7" s="51"/>
      <c r="O7" s="30"/>
      <c r="P7" s="28"/>
      <c r="Q7" s="52"/>
      <c r="R7" s="53"/>
      <c r="S7" s="54"/>
    </row>
    <row r="8">
      <c r="A8" s="20" t="s">
        <v>38</v>
      </c>
      <c r="B8" s="21">
        <v>3.5</v>
      </c>
      <c r="C8" s="7">
        <v>5.0</v>
      </c>
      <c r="D8" s="8">
        <f t="shared" si="1"/>
        <v>17.5</v>
      </c>
      <c r="E8" s="2" t="s">
        <v>39</v>
      </c>
      <c r="F8" s="8">
        <v>15.0</v>
      </c>
      <c r="G8" s="16">
        <v>2.0</v>
      </c>
      <c r="H8" s="8">
        <f t="shared" si="2"/>
        <v>30</v>
      </c>
      <c r="I8" s="39"/>
      <c r="J8" s="48"/>
      <c r="K8" s="55"/>
      <c r="L8" s="56"/>
      <c r="M8" s="39"/>
      <c r="N8" s="48"/>
      <c r="O8" s="55"/>
      <c r="P8" s="56"/>
      <c r="Q8" s="39"/>
      <c r="R8" s="48"/>
      <c r="S8" s="49"/>
    </row>
    <row r="9">
      <c r="A9" s="2" t="s">
        <v>40</v>
      </c>
      <c r="B9" s="21">
        <v>14.5</v>
      </c>
      <c r="C9" s="16">
        <v>3.0</v>
      </c>
      <c r="D9" s="8">
        <f t="shared" si="1"/>
        <v>43.5</v>
      </c>
      <c r="E9" s="2" t="s">
        <v>41</v>
      </c>
      <c r="F9" s="8">
        <v>14.0</v>
      </c>
      <c r="G9" s="16">
        <v>2.0</v>
      </c>
      <c r="H9" s="8">
        <f t="shared" si="2"/>
        <v>28</v>
      </c>
      <c r="I9" s="57"/>
      <c r="J9" s="58"/>
      <c r="K9" s="57"/>
      <c r="L9" s="59"/>
      <c r="M9" s="57"/>
      <c r="N9" s="58"/>
      <c r="O9" s="57"/>
      <c r="P9" s="59"/>
      <c r="Q9" s="57"/>
      <c r="R9" s="58"/>
      <c r="S9" s="57"/>
    </row>
    <row r="10">
      <c r="A10" s="2"/>
      <c r="B10" s="12"/>
      <c r="C10" s="2"/>
      <c r="D10" s="12"/>
      <c r="E10" s="2" t="s">
        <v>42</v>
      </c>
      <c r="F10" s="8">
        <v>7.5</v>
      </c>
      <c r="G10" s="16">
        <v>2.0</v>
      </c>
      <c r="H10" s="8">
        <f t="shared" si="2"/>
        <v>15</v>
      </c>
      <c r="I10" s="55"/>
      <c r="J10" s="56"/>
      <c r="K10" s="55"/>
      <c r="L10" s="60"/>
      <c r="M10" s="55"/>
      <c r="N10" s="56"/>
      <c r="O10" s="55"/>
      <c r="P10" s="60"/>
      <c r="Q10" s="61"/>
      <c r="R10" s="62"/>
      <c r="S10" s="63"/>
    </row>
    <row r="11">
      <c r="A11" s="2"/>
      <c r="B11" s="12"/>
      <c r="C11" s="2"/>
      <c r="D11" s="12"/>
      <c r="E11" s="2" t="s">
        <v>43</v>
      </c>
      <c r="F11" s="8">
        <v>2.5</v>
      </c>
      <c r="G11" s="7">
        <v>0.0</v>
      </c>
      <c r="H11" s="8">
        <f t="shared" si="2"/>
        <v>0</v>
      </c>
      <c r="I11" s="57"/>
      <c r="J11" s="58"/>
      <c r="K11" s="57"/>
      <c r="L11" s="59"/>
      <c r="M11" s="57"/>
      <c r="N11" s="58"/>
      <c r="O11" s="57"/>
      <c r="P11" s="59"/>
      <c r="Q11" s="57"/>
      <c r="R11" s="64"/>
      <c r="S11" s="57"/>
    </row>
    <row r="12">
      <c r="A12" s="2"/>
      <c r="B12" s="2"/>
      <c r="C12" s="2"/>
      <c r="D12" s="2"/>
      <c r="E12" s="2"/>
      <c r="F12" s="12"/>
      <c r="G12" s="2"/>
      <c r="H12" s="8">
        <f t="shared" si="2"/>
        <v>0</v>
      </c>
      <c r="I12" s="2" t="s">
        <v>15</v>
      </c>
      <c r="J12" s="2"/>
      <c r="K12" s="2"/>
      <c r="L12" s="14">
        <f>SUM(L3:L11)</f>
        <v>242.4</v>
      </c>
      <c r="M12" s="2"/>
      <c r="N12" s="2"/>
      <c r="O12" s="2"/>
      <c r="P12" s="14"/>
      <c r="Q12" s="65"/>
      <c r="R12" s="65"/>
      <c r="S12" s="65"/>
    </row>
    <row r="13">
      <c r="A13" s="2" t="s">
        <v>15</v>
      </c>
      <c r="B13" s="2"/>
      <c r="C13" s="2"/>
      <c r="D13" s="14">
        <f>SUM(D3:D11)</f>
        <v>276.94</v>
      </c>
      <c r="E13" s="2" t="s">
        <v>15</v>
      </c>
      <c r="F13" s="2"/>
      <c r="G13" s="2"/>
      <c r="H13" s="14">
        <f>SUM(H3:H12)</f>
        <v>239</v>
      </c>
      <c r="I13" s="66" t="s">
        <v>16</v>
      </c>
      <c r="J13" s="12"/>
      <c r="K13" s="2"/>
      <c r="L13" s="8">
        <v>1.49</v>
      </c>
      <c r="M13" s="66"/>
      <c r="N13" s="12"/>
      <c r="O13" s="2"/>
      <c r="P13" s="8"/>
      <c r="Q13" s="2"/>
      <c r="R13" s="2"/>
      <c r="S13" s="2"/>
    </row>
    <row r="14">
      <c r="A14" s="66" t="s">
        <v>16</v>
      </c>
      <c r="B14" s="12"/>
      <c r="C14" s="16">
        <v>1.0</v>
      </c>
      <c r="D14" s="8">
        <v>20.0</v>
      </c>
      <c r="E14" s="66" t="s">
        <v>16</v>
      </c>
      <c r="F14" s="12"/>
      <c r="G14" s="2"/>
      <c r="H14" s="8">
        <v>6.49</v>
      </c>
      <c r="I14" s="66" t="s">
        <v>44</v>
      </c>
      <c r="J14" s="2"/>
      <c r="K14" s="2"/>
      <c r="L14" s="14">
        <v>38.69</v>
      </c>
      <c r="M14" s="66"/>
      <c r="N14" s="2"/>
      <c r="O14" s="2"/>
      <c r="P14" s="14"/>
      <c r="Q14" s="2"/>
      <c r="R14" s="67"/>
      <c r="S14" s="2"/>
    </row>
    <row r="15">
      <c r="A15" s="2"/>
      <c r="B15" s="2"/>
      <c r="C15" s="2"/>
      <c r="D15" s="12"/>
      <c r="E15" s="20" t="s">
        <v>45</v>
      </c>
      <c r="F15" s="2"/>
      <c r="G15" s="2"/>
      <c r="H15" s="8">
        <v>6.5</v>
      </c>
      <c r="I15" s="2" t="s">
        <v>17</v>
      </c>
      <c r="J15" s="2"/>
      <c r="K15" s="2"/>
      <c r="L15" s="14">
        <f>SUM(L12:L14)</f>
        <v>282.58</v>
      </c>
      <c r="M15" s="2"/>
      <c r="N15" s="2"/>
      <c r="O15" s="2"/>
      <c r="P15" s="14"/>
      <c r="Q15" s="2"/>
      <c r="R15" s="3"/>
      <c r="S15" s="2"/>
    </row>
    <row r="16">
      <c r="A16" s="2" t="s">
        <v>17</v>
      </c>
      <c r="B16" s="3"/>
      <c r="C16" s="2"/>
      <c r="D16" s="14">
        <f>SUM(D13:D15)</f>
        <v>296.94</v>
      </c>
      <c r="E16" s="2" t="s">
        <v>17</v>
      </c>
      <c r="F16" s="3"/>
      <c r="G16" s="2"/>
      <c r="H16" s="14">
        <f>SUM(H13:H15)</f>
        <v>251.99</v>
      </c>
      <c r="I16" s="20" t="s">
        <v>46</v>
      </c>
      <c r="J16" s="2"/>
      <c r="K16" s="2"/>
      <c r="L16" s="8">
        <v>43.91</v>
      </c>
      <c r="M16" s="20"/>
      <c r="N16" s="2"/>
      <c r="O16" s="2"/>
      <c r="P16" s="8"/>
      <c r="Q16" s="2"/>
      <c r="R16" s="67"/>
      <c r="S16" s="2"/>
    </row>
    <row r="17">
      <c r="A17" s="20" t="s">
        <v>19</v>
      </c>
      <c r="B17" s="2"/>
      <c r="C17" s="2"/>
      <c r="D17" s="8">
        <f>D16*0.13</f>
        <v>38.6022</v>
      </c>
      <c r="E17" s="20" t="s">
        <v>19</v>
      </c>
      <c r="F17" s="2"/>
      <c r="G17" s="2"/>
      <c r="H17" s="8">
        <f>H16*0.13</f>
        <v>32.7587</v>
      </c>
      <c r="I17" s="2" t="s">
        <v>21</v>
      </c>
      <c r="J17" s="2"/>
      <c r="K17" s="2"/>
      <c r="L17" s="14">
        <v>45.8</v>
      </c>
      <c r="M17" s="2"/>
      <c r="N17" s="2"/>
      <c r="O17" s="2"/>
      <c r="P17" s="14"/>
      <c r="Q17" s="2"/>
      <c r="R17" s="2"/>
      <c r="S17" s="2"/>
    </row>
    <row r="18">
      <c r="A18" s="2" t="s">
        <v>21</v>
      </c>
      <c r="B18" s="2"/>
      <c r="C18" s="2"/>
      <c r="D18" s="14">
        <f>D16*0.15</f>
        <v>44.541</v>
      </c>
      <c r="E18" s="2" t="s">
        <v>21</v>
      </c>
      <c r="F18" s="2"/>
      <c r="G18" s="2"/>
      <c r="H18" s="14">
        <f>H16*0.15</f>
        <v>37.7985</v>
      </c>
      <c r="I18" s="2"/>
      <c r="J18" s="12"/>
      <c r="K18" s="2"/>
      <c r="L18" s="12"/>
      <c r="M18" s="2"/>
      <c r="N18" s="12"/>
      <c r="O18" s="2"/>
      <c r="P18" s="12"/>
      <c r="Q18" s="2"/>
      <c r="R18" s="67"/>
      <c r="S18" s="2"/>
    </row>
    <row r="19">
      <c r="A19" s="11" t="s">
        <v>23</v>
      </c>
      <c r="B19" s="24"/>
      <c r="C19" s="24"/>
      <c r="D19" s="27">
        <f>SUM(D16:D18)</f>
        <v>380.0832</v>
      </c>
      <c r="E19" s="11" t="s">
        <v>23</v>
      </c>
      <c r="F19" s="24"/>
      <c r="G19" s="24"/>
      <c r="H19" s="27">
        <f>SUM(H16:H18)</f>
        <v>322.5472</v>
      </c>
      <c r="I19" s="68" t="s">
        <v>47</v>
      </c>
      <c r="J19" s="12"/>
      <c r="K19" s="2"/>
      <c r="L19" s="69">
        <f>SUM(L15:L17)</f>
        <v>372.29</v>
      </c>
      <c r="M19" s="68"/>
      <c r="N19" s="12"/>
      <c r="O19" s="2"/>
      <c r="P19" s="69"/>
      <c r="Q19" s="24"/>
      <c r="R19" s="24"/>
      <c r="S19" s="24"/>
    </row>
  </sheetData>
  <hyperlinks>
    <hyperlink r:id="rId1" ref="A1"/>
    <hyperlink r:id="rId2" ref="I1"/>
  </hyperlinks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>
        <v>18.25</v>
      </c>
      <c r="C3" s="7">
        <v>4.0</v>
      </c>
      <c r="D3" s="8">
        <f t="shared" ref="D3:D9" si="1">C3*B3</f>
        <v>73</v>
      </c>
    </row>
    <row r="4">
      <c r="A4" s="5" t="s">
        <v>7</v>
      </c>
      <c r="B4" s="6">
        <v>16.95</v>
      </c>
      <c r="C4" s="7">
        <v>4.0</v>
      </c>
      <c r="D4" s="8">
        <f t="shared" si="1"/>
        <v>67.8</v>
      </c>
    </row>
    <row r="5">
      <c r="A5" s="5" t="s">
        <v>8</v>
      </c>
      <c r="B5" s="6">
        <v>13.75</v>
      </c>
      <c r="C5" s="7">
        <v>5.0</v>
      </c>
      <c r="D5" s="8">
        <f t="shared" si="1"/>
        <v>68.75</v>
      </c>
    </row>
    <row r="6">
      <c r="A6" s="10" t="s">
        <v>9</v>
      </c>
      <c r="B6" s="6">
        <v>13.15</v>
      </c>
      <c r="C6" s="7">
        <v>3.0</v>
      </c>
      <c r="D6" s="8">
        <f t="shared" si="1"/>
        <v>39.45</v>
      </c>
    </row>
    <row r="7">
      <c r="A7" s="5" t="s">
        <v>10</v>
      </c>
      <c r="B7" s="6">
        <v>14.55</v>
      </c>
      <c r="C7" s="7">
        <v>4.0</v>
      </c>
      <c r="D7" s="8">
        <f t="shared" si="1"/>
        <v>58.2</v>
      </c>
    </row>
    <row r="8">
      <c r="A8" s="5" t="s">
        <v>12</v>
      </c>
      <c r="B8" s="6">
        <v>3.55</v>
      </c>
      <c r="C8" s="7">
        <v>10.0</v>
      </c>
      <c r="D8" s="8">
        <f t="shared" si="1"/>
        <v>35.5</v>
      </c>
    </row>
    <row r="9">
      <c r="A9" s="5" t="s">
        <v>14</v>
      </c>
      <c r="B9" s="6">
        <v>7.05</v>
      </c>
      <c r="C9" s="7">
        <v>5.0</v>
      </c>
      <c r="D9" s="8">
        <f t="shared" si="1"/>
        <v>35.25</v>
      </c>
    </row>
    <row r="10">
      <c r="A10" s="2"/>
      <c r="B10" s="12"/>
      <c r="C10" s="2"/>
      <c r="D10" s="12"/>
    </row>
    <row r="11">
      <c r="A11" s="2"/>
      <c r="B11" s="12"/>
      <c r="C11" s="2"/>
      <c r="D11" s="12"/>
    </row>
    <row r="12">
      <c r="A12" s="2"/>
      <c r="B12" s="2"/>
      <c r="C12" s="2"/>
      <c r="D12" s="2"/>
    </row>
    <row r="13">
      <c r="A13" s="2" t="s">
        <v>15</v>
      </c>
      <c r="B13" s="2"/>
      <c r="C13" s="2"/>
      <c r="D13" s="14">
        <f>SUM(D3:D11)</f>
        <v>377.95</v>
      </c>
    </row>
    <row r="14">
      <c r="A14" s="15" t="s">
        <v>16</v>
      </c>
      <c r="B14" s="12"/>
      <c r="C14" s="16"/>
      <c r="D14" s="18">
        <v>0.0</v>
      </c>
    </row>
    <row r="15">
      <c r="A15" s="2"/>
      <c r="B15" s="2"/>
      <c r="C15" s="2"/>
      <c r="D15" s="12"/>
    </row>
    <row r="16">
      <c r="A16" s="2" t="s">
        <v>17</v>
      </c>
      <c r="B16" s="3"/>
      <c r="C16" s="2"/>
      <c r="D16" s="14">
        <f>SUM(D13:D15)</f>
        <v>377.95</v>
      </c>
    </row>
    <row r="17">
      <c r="A17" s="20" t="s">
        <v>19</v>
      </c>
      <c r="B17" s="2"/>
      <c r="C17" s="2"/>
      <c r="D17" s="8">
        <f>D16*0.13</f>
        <v>49.1335</v>
      </c>
    </row>
    <row r="18">
      <c r="A18" s="2" t="s">
        <v>21</v>
      </c>
      <c r="B18" s="2"/>
      <c r="C18" s="22">
        <v>0.0</v>
      </c>
      <c r="D18" s="14"/>
    </row>
    <row r="19">
      <c r="A19" s="11" t="s">
        <v>23</v>
      </c>
      <c r="B19" s="24"/>
      <c r="C19" s="24"/>
      <c r="D19" s="27">
        <f>SUM(D16:D18)</f>
        <v>427.0835</v>
      </c>
    </row>
    <row r="20">
      <c r="D20" s="29" t="s">
        <v>24</v>
      </c>
    </row>
    <row r="21">
      <c r="D21" s="29" t="s">
        <v>25</v>
      </c>
    </row>
  </sheetData>
  <drawing r:id="rId1"/>
</worksheet>
</file>