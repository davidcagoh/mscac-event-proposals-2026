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Food" sheetId="2" r:id="rId6"/>
    <sheet state="visible" name="SNACKS" sheetId="3" r:id="rId7"/>
    <sheet state="visible" name="MEALS" sheetId="4" r:id="rId8"/>
  </sheets>
  <definedNames/>
  <calcPr/>
</workbook>
</file>

<file path=xl/sharedStrings.xml><?xml version="1.0" encoding="utf-8"?>
<sst xmlns="http://schemas.openxmlformats.org/spreadsheetml/2006/main" count="233" uniqueCount="113">
  <si>
    <t>Claim Item</t>
  </si>
  <si>
    <t>Fresca Pizza</t>
  </si>
  <si>
    <t>Cost</t>
  </si>
  <si>
    <t>Pumpernickel’s Sandwiches</t>
  </si>
  <si>
    <t>Canteen via Uber</t>
  </si>
  <si>
    <t>Paid By</t>
  </si>
  <si>
    <t>Pantree</t>
  </si>
  <si>
    <t>Receipt</t>
  </si>
  <si>
    <t>Status of Claim</t>
  </si>
  <si>
    <t>Remarks</t>
  </si>
  <si>
    <t>CUSTOM VENDOR</t>
  </si>
  <si>
    <t>Food</t>
  </si>
  <si>
    <t>Item</t>
  </si>
  <si>
    <t>Sum</t>
  </si>
  <si>
    <t>Amount</t>
  </si>
  <si>
    <t>Cost price</t>
  </si>
  <si>
    <t>Assorted Sandwich Meal</t>
  </si>
  <si>
    <t>Margherita XL</t>
  </si>
  <si>
    <t>Uber</t>
  </si>
  <si>
    <t>~10</t>
  </si>
  <si>
    <t>Fruit Platter Option C</t>
  </si>
  <si>
    <t>Forks spoons knives; cups plates</t>
  </si>
  <si>
    <t>~$65</t>
  </si>
  <si>
    <t>Hainanese Chicken on Rice</t>
  </si>
  <si>
    <t>Total</t>
  </si>
  <si>
    <t>Base Price</t>
  </si>
  <si>
    <t>Restaurants</t>
  </si>
  <si>
    <t>Rasa Malaysia</t>
  </si>
  <si>
    <t>Hawkers</t>
  </si>
  <si>
    <t>Hong Kong</t>
  </si>
  <si>
    <t>Shanghai</t>
  </si>
  <si>
    <t>Canada Dry</t>
  </si>
  <si>
    <t>Grand Asia Market</t>
  </si>
  <si>
    <t>Utensils</t>
  </si>
  <si>
    <t>Acacia Tree</t>
  </si>
  <si>
    <t>Happy China</t>
  </si>
  <si>
    <t>Shanghai Alley</t>
  </si>
  <si>
    <t>Nasi Lemak</t>
  </si>
  <si>
    <t>Tropicana</t>
  </si>
  <si>
    <t>Baked Spaghetti with Minced Beef &amp; Cheese</t>
  </si>
  <si>
    <t>Canteen (order via Uber)</t>
  </si>
  <si>
    <t>Malaysian Stur Fried Hokkien Noodles</t>
  </si>
  <si>
    <t>Baked Fish with Spinach &amp; Bacon in Cream Sauce &amp; Cheese on Rice</t>
  </si>
  <si>
    <t>Baked Spaghetti with Ham, Chicken &amp; Cheese in Tomato Sauce</t>
  </si>
  <si>
    <t>Honey Garlic Wings with Fries (8pc)</t>
  </si>
  <si>
    <t>Subtotal Food</t>
  </si>
  <si>
    <t>Deep Fried Chicken Wings with Fries (8pcs)</t>
  </si>
  <si>
    <t>Catering for 30-40pax; non alcoholic drinks also provided with more cups so that total event attendance can go up to 80</t>
  </si>
  <si>
    <t>Note: Canteen only has meals per pax, no dishes</t>
  </si>
  <si>
    <t>House of Gourmet via Uber</t>
  </si>
  <si>
    <t>Onion Rings</t>
  </si>
  <si>
    <t>Beverage</t>
  </si>
  <si>
    <t>Approach: 2 carb 2 meat 1 veg 2 app, incl veggie options for carb, app</t>
  </si>
  <si>
    <t>Delivery Fee</t>
  </si>
  <si>
    <t>Served in medium trays about 5 servings</t>
  </si>
  <si>
    <t>Service Fee (10%)</t>
  </si>
  <si>
    <t>Pretax Subtotal</t>
  </si>
  <si>
    <t>Platform Fee</t>
  </si>
  <si>
    <t>Taxes (13%)</t>
  </si>
  <si>
    <t>Tip (15%)</t>
  </si>
  <si>
    <t>Fried Noodle with Bean Sprout 芽菜仔炒麵</t>
  </si>
  <si>
    <t>TOTAL (FOOD)</t>
  </si>
  <si>
    <t xml:space="preserve">Shrimp Fried Rice </t>
  </si>
  <si>
    <t>EGG Fried Rice VEGETARIAN 鸡蛋炒饭</t>
  </si>
  <si>
    <t>Chicken Fried Rice 雞粒炒飯</t>
  </si>
  <si>
    <t>Noodles with Soybean Paste</t>
  </si>
  <si>
    <t>Stir-fried Flat Rice Noodles with Beef 干炒牛河</t>
  </si>
  <si>
    <t>Sliced Beef with Black Bean Sauce 豉椒牛肉</t>
  </si>
  <si>
    <t>Crispy Sweet &amp; Sour Pork</t>
  </si>
  <si>
    <t>Kung Pao Chicken Spicy Stir Fry Peanut 宫保鸡丁</t>
  </si>
  <si>
    <t>Sweet and Sour Pork with Pineapple 菠蘿咕嚕肉</t>
  </si>
  <si>
    <t>Stir-Fried Beef with Bell Peppers</t>
  </si>
  <si>
    <t>Crispy Sweet &amp; Sour Pork 锅包肉</t>
  </si>
  <si>
    <t>Deep-Fried Bean Curd with Broccoli and Black Mushroom 紅燒豆腐</t>
  </si>
  <si>
    <t>Tomato &amp; Egg Stir Fry</t>
  </si>
  <si>
    <t>Stir-Fried Beef with Bell Peppers 铁板黑椒五彩牛肉爱</t>
  </si>
  <si>
    <t>Note: To ask for this to be vegetarian</t>
  </si>
  <si>
    <t>Vegetarian Egg Roll 素蛋卷 x1</t>
  </si>
  <si>
    <t>Braised Shiitake Mushrooms</t>
  </si>
  <si>
    <t>Home style tofu 家常豆腐 VEGE PLEASE</t>
  </si>
  <si>
    <t>Deep-Fried Breaded Jumbo Shrimp 脆皮炸明蝦</t>
  </si>
  <si>
    <t>Chinese Broccoli</t>
  </si>
  <si>
    <t>Tomato &amp; Egg Stir Fry 番茄鸡蛋</t>
  </si>
  <si>
    <t>Spicy Stir-Fry with Peanuts</t>
  </si>
  <si>
    <t>Braised Shiitake Mushrooms 皇烧香菇</t>
  </si>
  <si>
    <t>VEGE</t>
  </si>
  <si>
    <t>DISCOUNT 20% OFF</t>
  </si>
  <si>
    <t>According to Uber App</t>
  </si>
  <si>
    <t>Service Fee</t>
  </si>
  <si>
    <t>Pretax</t>
  </si>
  <si>
    <t>Total paid in CASH to restaurant is $673.12</t>
  </si>
  <si>
    <t>Paid to delivery driver separately</t>
  </si>
  <si>
    <t>Total pay in cash to restaurant??</t>
  </si>
  <si>
    <r>
      <rPr>
        <rFont val="Arial"/>
        <color rgb="FF1155CC"/>
        <u/>
      </rPr>
      <t>Walmart</t>
    </r>
    <r>
      <rPr>
        <rFont val="Arial"/>
      </rPr>
      <t xml:space="preserve"> Coke + Apple Juice</t>
    </r>
  </si>
  <si>
    <r>
      <rPr>
        <rFont val="Arial"/>
        <color rgb="FF1155CC"/>
        <u/>
      </rPr>
      <t>Walmart</t>
    </r>
    <r>
      <rPr>
        <rFont val="Arial"/>
      </rPr>
      <t xml:space="preserve"> Coke + Apple Juice</t>
    </r>
  </si>
  <si>
    <r>
      <rPr>
        <rFont val="Arial"/>
        <color rgb="FF1155CC"/>
        <u/>
      </rPr>
      <t>Walmart</t>
    </r>
    <r>
      <rPr>
        <rFont val="Arial"/>
      </rPr>
      <t xml:space="preserve"> Coke + Apple Juice</t>
    </r>
  </si>
  <si>
    <t>?</t>
  </si>
  <si>
    <r>
      <rPr>
        <rFont val="Arial"/>
        <color rgb="FF1155CC"/>
        <u/>
      </rPr>
      <t>cups</t>
    </r>
    <r>
      <rPr>
        <rFont val="Arial"/>
      </rPr>
      <t xml:space="preserve">  for 80</t>
    </r>
  </si>
  <si>
    <r>
      <rPr>
        <rFont val="Arial"/>
        <color rgb="FF1155CC"/>
        <u/>
      </rPr>
      <t>cups</t>
    </r>
    <r>
      <rPr>
        <rFont val="Arial"/>
      </rPr>
      <t xml:space="preserve">  for 80</t>
    </r>
  </si>
  <si>
    <r>
      <rPr>
        <rFont val="Arial"/>
        <color rgb="FF1155CC"/>
        <u/>
      </rPr>
      <t>cups</t>
    </r>
    <r>
      <rPr>
        <rFont val="Arial"/>
      </rPr>
      <t xml:space="preserve">  for 80</t>
    </r>
  </si>
  <si>
    <r>
      <rPr>
        <color rgb="FF1155CC"/>
        <u/>
      </rPr>
      <t xml:space="preserve">Cutlery </t>
    </r>
    <r>
      <rPr>
        <color rgb="FF000000"/>
      </rPr>
      <t>for 30-40</t>
    </r>
  </si>
  <si>
    <r>
      <rPr>
        <color rgb="FF1155CC"/>
        <u/>
      </rPr>
      <t xml:space="preserve">Cutlery </t>
    </r>
    <r>
      <rPr>
        <color rgb="FF000000"/>
      </rPr>
      <t>for 30-40</t>
    </r>
  </si>
  <si>
    <r>
      <rPr>
        <rFont val="Arial"/>
        <color rgb="FF1155CC"/>
        <u/>
      </rPr>
      <t xml:space="preserve">Cutlery </t>
    </r>
    <r>
      <rPr>
        <rFont val="Arial"/>
        <color rgb="FF000000"/>
      </rPr>
      <t>for 30-40</t>
    </r>
  </si>
  <si>
    <r>
      <rPr>
        <rFont val="Arial"/>
        <color rgb="FF1155CC"/>
        <u/>
      </rPr>
      <t>Walmart</t>
    </r>
    <r>
      <rPr>
        <rFont val="Arial"/>
        <color rgb="FF1155CC"/>
        <u/>
      </rPr>
      <t xml:space="preserve"> Coke + Apple Juice</t>
    </r>
  </si>
  <si>
    <r>
      <rPr>
        <rFont val="Arial"/>
        <color rgb="FF1155CC"/>
        <u/>
      </rPr>
      <t>disposable plates</t>
    </r>
    <r>
      <rPr>
        <rFont val="Arial"/>
      </rPr>
      <t xml:space="preserve"> for 100</t>
    </r>
  </si>
  <si>
    <r>
      <rPr>
        <rFont val="Arial"/>
        <color rgb="FF1155CC"/>
        <u/>
      </rPr>
      <t>disposable plates</t>
    </r>
    <r>
      <rPr>
        <rFont val="Arial"/>
      </rPr>
      <t xml:space="preserve"> for 100</t>
    </r>
  </si>
  <si>
    <r>
      <rPr>
        <rFont val="Arial"/>
        <color rgb="FF1155CC"/>
        <u/>
      </rPr>
      <t>disposable plates</t>
    </r>
    <r>
      <rPr>
        <rFont val="Arial"/>
      </rPr>
      <t xml:space="preserve"> for 100</t>
    </r>
  </si>
  <si>
    <r>
      <rPr>
        <rFont val="Arial"/>
        <color rgb="FF1155CC"/>
        <u/>
      </rPr>
      <t>cups</t>
    </r>
    <r>
      <rPr>
        <rFont val="Arial"/>
        <color rgb="FF1155CC"/>
        <u/>
      </rPr>
      <t xml:space="preserve">  for 80</t>
    </r>
  </si>
  <si>
    <t>Subtotal (Misc)</t>
  </si>
  <si>
    <r>
      <rPr>
        <rFont val="Arial"/>
        <color rgb="FF1155CC"/>
        <u/>
      </rPr>
      <t xml:space="preserve">Cutlery </t>
    </r>
    <r>
      <rPr>
        <rFont val="Arial"/>
        <color rgb="FF000000"/>
        <u/>
      </rPr>
      <t>for 30-40</t>
    </r>
  </si>
  <si>
    <r>
      <rPr>
        <rFont val="Arial"/>
        <color rgb="FF1155CC"/>
        <u/>
      </rPr>
      <t>disposable plates</t>
    </r>
    <r>
      <rPr>
        <rFont val="Arial"/>
        <color rgb="FF1155CC"/>
        <u/>
      </rPr>
      <t xml:space="preserve"> for 100</t>
    </r>
  </si>
  <si>
    <t>TOTAL (MISC)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</si>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</sst>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9">
    <font>
      <sz val="10.0"/>
      <color rgb="FF000000"/>
      <name val="Arial"/>
      <scheme val="minor"/>
    </font>
    <font>
      <color theme="1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1C1E21"/>
      <name val="Arial"/>
    </font>
    <font>
      <sz val="11.0"/>
      <color rgb="FF000000"/>
      <name val="Arial"/>
    </font>
    <font>
      <b/>
      <u/>
      <color rgb="FF0000FF"/>
      <name val="Arial"/>
    </font>
    <font>
      <b/>
      <i/>
      <color theme="1"/>
      <name val="Arial"/>
      <scheme val="minor"/>
    </font>
    <font>
      <b/>
      <i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color rgb="FFFF0000"/>
      <name val="Arial"/>
      <scheme val="minor"/>
    </font>
    <font>
      <b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2" fillId="2" fontId="1" numFmtId="0" xfId="0" applyAlignment="1" applyBorder="1" applyFill="1" applyFont="1">
      <alignment vertical="bottom"/>
    </xf>
    <xf borderId="0" fillId="0" fontId="1" numFmtId="0" xfId="0" applyAlignment="1" applyFont="1">
      <alignment shrinkToFit="0" vertical="bottom" wrapText="1"/>
    </xf>
    <xf borderId="3" fillId="0" fontId="1" numFmtId="0" xfId="0" applyAlignment="1" applyBorder="1" applyFont="1">
      <alignment vertical="bottom"/>
    </xf>
    <xf borderId="0" fillId="5" fontId="3" numFmtId="0" xfId="0" applyAlignment="1" applyFill="1" applyFont="1">
      <alignment shrinkToFit="0" vertical="bottom" wrapText="1"/>
    </xf>
    <xf borderId="4" fillId="0" fontId="1" numFmtId="164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4" fillId="0" fontId="1" numFmtId="164" xfId="0" applyAlignment="1" applyBorder="1" applyFont="1" applyNumberFormat="1">
      <alignment readingOrder="0" vertical="bottom"/>
    </xf>
    <xf borderId="0" fillId="0" fontId="1" numFmtId="164" xfId="0" applyAlignment="1" applyFont="1" applyNumberFormat="1">
      <alignment horizontal="right"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0" fillId="0" fontId="1" numFmtId="164" xfId="0" applyAlignment="1" applyFont="1" applyNumberForma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1" numFmtId="0" xfId="0" applyAlignment="1" applyFill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4" fontId="3" numFmtId="0" xfId="0" applyAlignment="1" applyFill="1" applyFont="1">
      <alignment readingOrder="0" shrinkToFit="0" vertical="bottom" wrapText="1"/>
    </xf>
    <xf borderId="0" fillId="4" fontId="4" numFmtId="0" xfId="0" applyFill="1" applyFont="1"/>
    <xf borderId="0" fillId="4" fontId="3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readingOrder="0" shrinkToFit="0" vertical="bottom" wrapText="1"/>
    </xf>
    <xf borderId="0" fillId="0" fontId="4" numFmtId="164" xfId="0" applyFont="1" applyNumberFormat="1"/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right"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7" numFmtId="0" xfId="0" applyFont="1"/>
    <xf borderId="0" fillId="0" fontId="3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readingOrder="0" shrinkToFit="0" vertical="bottom" wrapText="1"/>
    </xf>
    <xf borderId="0" fillId="3" fontId="3" numFmtId="164" xfId="0" applyAlignment="1" applyFill="1" applyFont="1" applyNumberFormat="1">
      <alignment horizontal="right" shrinkToFit="0" vertical="bottom" wrapText="1"/>
    </xf>
    <xf borderId="0" fillId="3" fontId="4" numFmtId="0" xfId="0" applyFill="1" applyFont="1"/>
    <xf borderId="0" fillId="0" fontId="1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shrinkToFit="0" vertical="bottom" wrapText="1"/>
    </xf>
    <xf borderId="0" fillId="0" fontId="1" numFmtId="164" xfId="0" applyAlignment="1" applyFont="1" applyNumberFormat="1">
      <alignment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1" numFmtId="164" xfId="0" applyAlignment="1" applyFont="1" applyNumberFormat="1">
      <alignment readingOrder="0" shrinkToFit="0" vertical="bottom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0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3" fontId="3" numFmtId="0" xfId="0" applyAlignment="1" applyFill="1" applyFont="1">
      <alignment shrinkToFit="0" vertical="bottom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5" numFmtId="0" xfId="0" applyFont="1"/>
    <xf borderId="0" fillId="6" fontId="3" numFmtId="0" xfId="0" applyAlignment="1" applyFill="1" applyFont="1">
      <alignment shrinkToFit="0" vertical="bottom" wrapText="1"/>
    </xf>
    <xf borderId="0" fillId="6" fontId="3" numFmtId="0" xfId="0" applyAlignment="1" applyFill="1" applyFont="1">
      <alignment readingOrder="0" shrinkToFit="0" vertical="bottom" wrapText="1"/>
    </xf>
    <xf borderId="0" fillId="6" fontId="3" numFmtId="164" xfId="0" applyAlignment="1" applyFill="1" applyFont="1" applyNumberFormat="1">
      <alignment readingOrder="0" shrinkToFit="0" vertical="bottom" wrapText="1"/>
    </xf>
    <xf borderId="0" fillId="6" fontId="3" numFmtId="0" xfId="0" applyAlignment="1" applyFill="1" applyFont="1">
      <alignment vertical="bottom"/>
    </xf>
    <xf borderId="0" fillId="0" fontId="3" numFmtId="164" xfId="0" applyAlignment="1" applyFont="1" applyNumberFormat="1">
      <alignment horizontal="right" shrinkToFit="0" vertical="bottom" wrapText="1"/>
    </xf>
    <xf borderId="0" fillId="6" fontId="5" numFmtId="0" xfId="0" applyFill="1" applyFont="1"/>
    <xf borderId="0" fillId="3" fontId="17" numFmtId="0" xfId="0" applyFill="1" applyFont="1"/>
    <xf borderId="0" fillId="3" fontId="18" numFmtId="0" xfId="0" applyAlignment="1" applyFill="1" applyFont="1">
      <alignment horizontal="right" shrinkToFit="0" vertical="bottom" wrapText="1"/>
    </xf>
    <xf borderId="0" fillId="3" fontId="18" numFmtId="164" xfId="0" applyAlignment="1" applyFill="1" applyFont="1" applyNumberFormat="1">
      <alignment horizontal="right" shrinkToFit="0" vertical="bottom" wrapText="1"/>
    </xf>
    <xf borderId="0" fillId="3" fontId="18" numFmtId="0" xfId="0" applyAlignment="1" applyFill="1" applyFont="1">
      <alignment shrinkToFit="0" vertical="bottom" wrapText="1"/>
    </xf>
    <xf borderId="0" fillId="3" fontId="18" numFmtId="0" xfId="0" applyAlignment="1" applyFill="1" applyFont="1">
      <alignment vertical="bottom"/>
    </xf>
    <xf borderId="0" fillId="6" fontId="3" numFmtId="164" xfId="0" applyAlignment="1" applyFill="1" applyFont="1" applyNumberFormat="1">
      <alignment horizontal="right" shrinkToFit="0" vertical="bottom" wrapText="1"/>
    </xf>
    <xf borderId="0" fillId="6" fontId="1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o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od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L3:O11" displayName="Mr_Yes" name="Mr_Yes" id="1">
  <tableColumns count="4">
    <tableColumn name="Item" id="1"/>
    <tableColumn name="Sum" id="2"/>
    <tableColumn name="Amount" id="3"/>
    <tableColumn name="Cost price" id="4"/>
  </tableColumns>
  <tableStyleInfo name="Food-style" showColumnStripes="0" showFirstColumn="1" showLastColumn="1" showRowStripes="1"/>
</table>
</file>

<file path=xl/tables/table2.xml><?xml version="1.0" encoding="utf-8"?>
<table xmlns="http://schemas.openxmlformats.org/spreadsheetml/2006/main" ref="Q3:T13" displayName="Table1" name="Table1" id="2">
  <tableColumns count="4">
    <tableColumn name="Item" id="1"/>
    <tableColumn name="Sum" id="2"/>
    <tableColumn name="Amount" id="3"/>
    <tableColumn name="Cost price" id="4"/>
  </tableColumns>
  <tableStyleInfo name="Foo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a/Clear-Plastic-Cutlery-Set-Disposable/dp/B0DCJRG523/ref=sr_1_10?dib=eyJ2IjoiMSJ9.vZSKQKSNOSYCySXbYjhGr6nQS2L9iKQe06zyYfaTefQgiNnzULBhMxbQvYWL25-qFTW5b0gvvPiXWvOiMiNLh55DweOmPll0NvjLSc39TWRl9sxqxJmnP2UUi-hXWtXD0T70X_3WukulbCM1aWyDIdFqoRV6hfKJQCS5IXabptOWdVePWg7NFOdsMytjUB0DGImT0-FH6SmfgrvtRZczcjn05uQSpWzk0O_TREouM9JWt5IMLpnauO7iNZ-dIEvHftfzwfS2H7gWBAV2v2astn4__Zc7UPVpw2oflrXvBjA.G8QOpjKEFEzIKSETjPIp1CzMKFsGX6DPF1DALe4ZmIA&amp;dib_tag=se&amp;keywords=disposable%2Bcutlery&amp;qid=1759510245&amp;sr=8-10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www.amazon.ca/Clear-Plastic-Cutlery-Set-Disposable/dp/B0DCJRG523/ref=sr_1_10?dib=eyJ2IjoiMSJ9.vZSKQKSNOSYCySXbYjhGr6nQS2L9iKQe06zyYfaTefQgiNnzULBhMxbQvYWL25-qFTW5b0gvvPiXWvOiMiNLh55DweOmPll0NvjLSc39TWRl9sxqxJmnP2UUi-hXWtXD0T70X_3WukulbCM1aWyDIdFqoRV6hfKJQCS5IXabptOWdVePWg7NFOdsMytjUB0DGImT0-FH6SmfgrvtRZczcjn05uQSpWzk0O_TREouM9JWt5IMLpnauO7iNZ-dIEvHftfzwfS2H7gWBAV2v2astn4__Zc7UPVpw2oflrXvBjA.G8QOpjKEFEzIKSETjPIp1CzMKFsGX6DPF1DALe4ZmIA&amp;dib_tag=se&amp;keywords=disposable%2Bcutlery&amp;qid=1759510245&amp;sr=8-10" TargetMode="External"/><Relationship Id="rId13" Type="http://schemas.openxmlformats.org/officeDocument/2006/relationships/hyperlink" Target="https://www.amazon.ca/s?k=disposable+plates&amp;crid=1IBXIVTTQAIK8&amp;sprefix=disposable+plate%2Caps%2C104&amp;ref=nb_sb_noss_1" TargetMode="External"/><Relationship Id="rId12" Type="http://schemas.openxmlformats.org/officeDocument/2006/relationships/hyperlink" Target="https://www.walmart.ca/en/search?q=apple+juice" TargetMode="External"/><Relationship Id="rId23" Type="http://schemas.openxmlformats.org/officeDocument/2006/relationships/table" Target="../tables/table2.xml"/><Relationship Id="rId1" Type="http://schemas.openxmlformats.org/officeDocument/2006/relationships/hyperlink" Target="https://order.online/store/-33869099/?pickup=true&amp;hideModal=true&amp;utm_source=gfo&amp;rwg_token=ACgRB3dlbaOq7xkGNDzl8Gc8AQr0VQa7iAQP6Q66udbq6sGk1yxlc_f-426owYlA-XIDx7pV9rxyqdt4PRwJSgzOWO9bti-SIQ%3D%3D" TargetMode="External"/><Relationship Id="rId2" Type="http://schemas.openxmlformats.org/officeDocument/2006/relationships/hyperlink" Target="https://www.order.store/ca/store/house-of-gourmet-%E6%BB%BF%E5%BA%AD%E8%8A%B3/PWLr88h5Q0C7sKByRHdT4g?diningMode=DELIVERY" TargetMode="External"/><Relationship Id="rId3" Type="http://schemas.openxmlformats.org/officeDocument/2006/relationships/hyperlink" Target="https://www.walmart.ca/en/search?q=apple+juice" TargetMode="External"/><Relationship Id="rId4" Type="http://schemas.openxmlformats.org/officeDocument/2006/relationships/hyperlink" Target="https://www.walmart.ca/en/search?q=apple+juice" TargetMode="External"/><Relationship Id="rId9" Type="http://schemas.openxmlformats.org/officeDocument/2006/relationships/hyperlink" Target="https://www.amazon.ca/Clear-Plastic-Cutlery-Set-Disposable/dp/B0DCJRG523/ref=sr_1_10?dib=eyJ2IjoiMSJ9.vZSKQKSNOSYCySXbYjhGr6nQS2L9iKQe06zyYfaTefQgiNnzULBhMxbQvYWL25-qFTW5b0gvvPiXWvOiMiNLh55DweOmPll0NvjLSc39TWRl9sxqxJmnP2UUi-hXWtXD0T70X_3WukulbCM1aWyDIdFqoRV6hfKJQCS5IXabptOWdVePWg7NFOdsMytjUB0DGImT0-FH6SmfgrvtRZczcjn05uQSpWzk0O_TREouM9JWt5IMLpnauO7iNZ-dIEvHftfzwfS2H7gWBAV2v2astn4__Zc7UPVpw2oflrXvBjA.G8QOpjKEFEzIKSETjPIp1CzMKFsGX6DPF1DALe4ZmIA&amp;dib_tag=se&amp;keywords=disposable%2Bcutlery&amp;qid=1759510245&amp;sr=8-10" TargetMode="External"/><Relationship Id="rId15" Type="http://schemas.openxmlformats.org/officeDocument/2006/relationships/hyperlink" Target="https://www.amazon.ca/s?k=disposable+plates&amp;crid=1IBXIVTTQAIK8&amp;sprefix=disposable+plate%2Caps%2C104&amp;ref=nb_sb_noss_1" TargetMode="External"/><Relationship Id="rId14" Type="http://schemas.openxmlformats.org/officeDocument/2006/relationships/hyperlink" Target="https://www.amazon.ca/s?k=disposable+plates&amp;crid=1IBXIVTTQAIK8&amp;sprefix=disposable+plate%2Caps%2C104&amp;ref=nb_sb_noss_1" TargetMode="External"/><Relationship Id="rId17" Type="http://schemas.openxmlformats.org/officeDocument/2006/relationships/hyperlink" Target="https://www.amazon.ca/Clear-Plastic-Cutlery-Set-Disposable/dp/B0DCJRG523/ref=sr_1_10?dib=eyJ2IjoiMSJ9.vZSKQKSNOSYCySXbYjhGr6nQS2L9iKQe06zyYfaTefQgiNnzULBhMxbQvYWL25-qFTW5b0gvvPiXWvOiMiNLh55DweOmPll0NvjLSc39TWRl9sxqxJmnP2UUi-hXWtXD0T70X_3WukulbCM1aWyDIdFqoRV6hfKJQCS5IXabptOWdVePWg7NFOdsMytjUB0DGImT0-FH6SmfgrvtRZczcjn05uQSpWzk0O_TREouM9JWt5IMLpnauO7iNZ-dIEvHftfzwfS2H7gWBAV2v2astn4__Zc7UPVpw2oflrXvBjA.G8QOpjKEFEzIKSETjPIp1CzMKFsGX6DPF1DALe4ZmIA&amp;dib_tag=se&amp;keywords=disposable%2Bcutlery&amp;qid=1759510245&amp;sr=8-10" TargetMode="External"/><Relationship Id="rId16" Type="http://schemas.openxmlformats.org/officeDocument/2006/relationships/hyperlink" Target="https://www.amazon.com/TashiBox-Clear-Plastic-Drink-Count/dp/B07D4B9PWV/ref=sxin_15_pa_sp_search_thematic_sspa?content-id=amzn1.sym.f0c5ad8f-c1b9-48f0-8868-482b84b2d5eb%3Aamzn1.sym.f0c5ad8f-c1b9-48f0-8868-482b84b2d5eb&amp;crid=1N9NRAJM7TIQ1&amp;cv_ct_cx=plastic+cups&amp;keywords=plastic+cups&amp;pd_rd_i=B07D4B9PWV&amp;pd_rd_r=0bfbaef3-843a-4c86-8e58-c5ac40f1bf92&amp;pd_rd_w=XkObk&amp;pd_rd_wg=1UxFZ&amp;pf_rd_p=f0c5ad8f-c1b9-48f0-8868-482b84b2d5eb&amp;pf_rd_r=V7W2VQYT9156T0Q119JB&amp;qid=1676145656&amp;sprefix=plastic+cups%2Caps%2C88&amp;sr=1-4-a73d1c8c-2fd2-4f19-aa41-2df022bcb241-spons&amp;psc=1&amp;spLa=ZW5jcnlwdGVkUXVhbGlmaWVyPUExNk9US0ZVRFJYWkpGJmVuY3J5cHRlZElkPUEwNTkwMzk0M0pGSE9QNFpVQURHUyZlbmNyeXB0ZWRBZElkPUEwMTgzMzY0M0VGWVhQSkdFSjNWOCZ3aWRnZXROYW1lPXNwX3NlYXJjaF90aGVtYXRpYyZhY3Rpb249Y2xpY2tSZWRpcmVjdCZkb05vdExvZ0NsaWNrPXRydWU=" TargetMode="External"/><Relationship Id="rId5" Type="http://schemas.openxmlformats.org/officeDocument/2006/relationships/hyperlink" Target="https://www.walmart.ca/en/search?q=apple+juice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www.amazon.com/TashiBox-Clear-Plastic-Drink-Count/dp/B07D4B9PWV/ref=sxin_15_pa_sp_search_thematic_sspa?content-id=amzn1.sym.f0c5ad8f-c1b9-48f0-8868-482b84b2d5eb%3Aamzn1.sym.f0c5ad8f-c1b9-48f0-8868-482b84b2d5eb&amp;crid=1N9NRAJM7TIQ1&amp;cv_ct_cx=plastic+cups&amp;keywords=plastic+cups&amp;pd_rd_i=B07D4B9PWV&amp;pd_rd_r=0bfbaef3-843a-4c86-8e58-c5ac40f1bf92&amp;pd_rd_w=XkObk&amp;pd_rd_wg=1UxFZ&amp;pf_rd_p=f0c5ad8f-c1b9-48f0-8868-482b84b2d5eb&amp;pf_rd_r=V7W2VQYT9156T0Q119JB&amp;qid=1676145656&amp;sprefix=plastic+cups%2Caps%2C88&amp;sr=1-4-a73d1c8c-2fd2-4f19-aa41-2df022bcb241-spons&amp;psc=1&amp;spLa=ZW5jcnlwdGVkUXVhbGlmaWVyPUExNk9US0ZVRFJYWkpGJmVuY3J5cHRlZElkPUEwNTkwMzk0M0pGSE9QNFpVQURHUyZlbmNyeXB0ZWRBZElkPUEwMTgzMzY0M0VGWVhQSkdFSjNWOCZ3aWRnZXROYW1lPXNwX3NlYXJjaF90aGVtYXRpYyZhY3Rpb249Y2xpY2tSZWRpcmVjdCZkb05vdExvZ0NsaWNrPXRydWU=" TargetMode="External"/><Relationship Id="rId18" Type="http://schemas.openxmlformats.org/officeDocument/2006/relationships/hyperlink" Target="https://www.amazon.ca/s?k=disposable+plates&amp;crid=1IBXIVTTQAIK8&amp;sprefix=disposable+plate%2Caps%2C104&amp;ref=nb_sb_noss_1" TargetMode="External"/><Relationship Id="rId7" Type="http://schemas.openxmlformats.org/officeDocument/2006/relationships/hyperlink" Target="https://www.amazon.com/TashiBox-Clear-Plastic-Drink-Count/dp/B07D4B9PWV/ref=sxin_15_pa_sp_search_thematic_sspa?content-id=amzn1.sym.f0c5ad8f-c1b9-48f0-8868-482b84b2d5eb%3Aamzn1.sym.f0c5ad8f-c1b9-48f0-8868-482b84b2d5eb&amp;crid=1N9NRAJM7TIQ1&amp;cv_ct_cx=plastic+cups&amp;keywords=plastic+cups&amp;pd_rd_i=B07D4B9PWV&amp;pd_rd_r=0bfbaef3-843a-4c86-8e58-c5ac40f1bf92&amp;pd_rd_w=XkObk&amp;pd_rd_wg=1UxFZ&amp;pf_rd_p=f0c5ad8f-c1b9-48f0-8868-482b84b2d5eb&amp;pf_rd_r=V7W2VQYT9156T0Q119JB&amp;qid=1676145656&amp;sprefix=plastic+cups%2Caps%2C88&amp;sr=1-4-a73d1c8c-2fd2-4f19-aa41-2df022bcb241-spons&amp;psc=1&amp;spLa=ZW5jcnlwdGVkUXVhbGlmaWVyPUExNk9US0ZVRFJYWkpGJmVuY3J5cHRlZElkPUEwNTkwMzk0M0pGSE9QNFpVQURHUyZlbmNyeXB0ZWRBZElkPUEwMTgzMzY0M0VGWVhQSkdFSjNWOCZ3aWRnZXROYW1lPXNwX3NlYXJjaF90aGVtYXRpYyZhY3Rpb249Y2xpY2tSZWRpcmVjdCZkb05vdExvZ0NsaWNrPXRydWU=" TargetMode="External"/><Relationship Id="rId8" Type="http://schemas.openxmlformats.org/officeDocument/2006/relationships/hyperlink" Target="https://www.amazon.com/TashiBox-Clear-Plastic-Drink-Count/dp/B07D4B9PWV/ref=sxin_15_pa_sp_search_thematic_sspa?content-id=amzn1.sym.f0c5ad8f-c1b9-48f0-8868-482b84b2d5eb%3Aamzn1.sym.f0c5ad8f-c1b9-48f0-8868-482b84b2d5eb&amp;crid=1N9NRAJM7TIQ1&amp;cv_ct_cx=plastic+cups&amp;keywords=plastic+cups&amp;pd_rd_i=B07D4B9PWV&amp;pd_rd_r=0bfbaef3-843a-4c86-8e58-c5ac40f1bf92&amp;pd_rd_w=XkObk&amp;pd_rd_wg=1UxFZ&amp;pf_rd_p=f0c5ad8f-c1b9-48f0-8868-482b84b2d5eb&amp;pf_rd_r=V7W2VQYT9156T0Q119JB&amp;qid=1676145656&amp;sprefix=plastic+cups%2Caps%2C88&amp;sr=1-4-a73d1c8c-2fd2-4f19-aa41-2df022bcb241-spons&amp;psc=1&amp;spLa=ZW5jcnlwdGVkUXVhbGlmaWVyPUExNk9US0ZVRFJYWkpGJmVuY3J5cHRlZElkPUEwNTkwMzk0M0pGSE9QNFpVQURHUyZlbmNyeXB0ZWRBZElkPUEwMTgzMzY0M0VGWVhQSkdFSjNWOCZ3aWRnZXROYW1lPXNwX3NlYXJjaF90aGVtYXRpYyZhY3Rpb249Y2xpY2tSZWRpcmVjdCZkb05vdExvZ0NsaWNrPXRydWU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2</v>
      </c>
      <c r="C1" s="5" t="s">
        <v>5</v>
      </c>
      <c r="D1" s="5" t="s">
        <v>7</v>
      </c>
      <c r="E1" s="5" t="s">
        <v>8</v>
      </c>
      <c r="F1" s="5" t="s">
        <v>9</v>
      </c>
    </row>
    <row r="2">
      <c r="A2" s="7" t="s">
        <v>11</v>
      </c>
      <c r="B2" s="9">
        <v>869.12</v>
      </c>
      <c r="C2" s="10"/>
      <c r="D2" s="10"/>
      <c r="E2" s="10"/>
      <c r="F2" s="10"/>
    </row>
    <row r="3">
      <c r="A3" s="11" t="s">
        <v>18</v>
      </c>
      <c r="B3" s="12" t="s">
        <v>19</v>
      </c>
      <c r="C3" s="10"/>
      <c r="D3" s="10"/>
      <c r="E3" s="10"/>
      <c r="F3" s="9"/>
    </row>
    <row r="4">
      <c r="A4" s="14" t="s">
        <v>18</v>
      </c>
      <c r="B4" s="12" t="s">
        <v>19</v>
      </c>
      <c r="C4" s="10"/>
      <c r="D4" s="10"/>
      <c r="E4" s="10"/>
      <c r="F4" s="10"/>
    </row>
    <row r="5">
      <c r="A5" s="14" t="s">
        <v>21</v>
      </c>
      <c r="B5" s="12" t="s">
        <v>22</v>
      </c>
      <c r="C5" s="10"/>
      <c r="D5" s="10"/>
      <c r="E5" s="10"/>
      <c r="F5" s="10"/>
    </row>
    <row r="6">
      <c r="A6" s="7"/>
      <c r="B6" s="9"/>
      <c r="C6" s="10"/>
      <c r="D6" s="10"/>
      <c r="E6" s="10"/>
      <c r="F6" s="10"/>
    </row>
    <row r="7">
      <c r="A7" s="17" t="s">
        <v>24</v>
      </c>
    </row>
    <row r="9">
      <c r="A9" s="18" t="s">
        <v>26</v>
      </c>
    </row>
    <row r="10">
      <c r="A10" s="17" t="s">
        <v>27</v>
      </c>
    </row>
    <row r="11">
      <c r="A11" s="17" t="s">
        <v>28</v>
      </c>
    </row>
    <row r="12">
      <c r="A12" s="17" t="s">
        <v>29</v>
      </c>
      <c r="F12" s="3"/>
    </row>
    <row r="13">
      <c r="A13" s="17" t="s">
        <v>30</v>
      </c>
      <c r="F13" s="3"/>
    </row>
    <row r="14">
      <c r="A14" s="17" t="s">
        <v>32</v>
      </c>
      <c r="F14" s="20"/>
    </row>
    <row r="15">
      <c r="A15" s="17" t="s">
        <v>34</v>
      </c>
      <c r="F15" s="3"/>
    </row>
    <row r="16">
      <c r="A16" s="17" t="s">
        <v>35</v>
      </c>
      <c r="F16" s="3"/>
    </row>
    <row r="17">
      <c r="A17" s="17" t="s">
        <v>36</v>
      </c>
      <c r="F17" s="3"/>
    </row>
    <row r="18">
      <c r="F18" s="3"/>
    </row>
    <row r="19">
      <c r="F1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5.0"/>
    <col customWidth="1" min="12" max="12" width="22.25"/>
    <col customWidth="1" min="15" max="15" width="12.75"/>
  </cols>
  <sheetData>
    <row r="1">
      <c r="A1" s="19"/>
      <c r="B1" s="21"/>
      <c r="C1" s="4"/>
      <c r="D1" s="19"/>
      <c r="E1" s="19"/>
      <c r="F1" s="19"/>
      <c r="G1" s="21"/>
      <c r="H1" s="4"/>
      <c r="I1" s="19"/>
      <c r="J1" s="22"/>
      <c r="K1" s="19"/>
      <c r="L1" s="23"/>
      <c r="M1" s="23"/>
      <c r="N1" s="4"/>
      <c r="O1" s="4"/>
      <c r="P1" s="22"/>
      <c r="Q1" s="22"/>
      <c r="R1" s="22"/>
      <c r="S1" s="22"/>
      <c r="T1" s="22"/>
      <c r="U1" s="22"/>
    </row>
    <row r="2">
      <c r="A2" s="6"/>
      <c r="B2" s="27" t="s">
        <v>40</v>
      </c>
      <c r="C2" s="3" t="s">
        <v>47</v>
      </c>
      <c r="D2" s="4" t="s">
        <v>48</v>
      </c>
      <c r="E2" s="6"/>
      <c r="F2" s="6"/>
      <c r="G2" s="27" t="s">
        <v>49</v>
      </c>
      <c r="H2" s="3" t="s">
        <v>52</v>
      </c>
      <c r="I2" s="3" t="s">
        <v>47</v>
      </c>
      <c r="K2" s="6"/>
      <c r="L2" s="30"/>
      <c r="M2" s="30"/>
      <c r="N2" s="3" t="s">
        <v>54</v>
      </c>
      <c r="O2" s="3" t="s">
        <v>47</v>
      </c>
    </row>
    <row r="3" ht="22.5" customHeight="1">
      <c r="A3" s="6"/>
      <c r="B3" s="8" t="s">
        <v>12</v>
      </c>
      <c r="C3" s="8" t="s">
        <v>13</v>
      </c>
      <c r="D3" s="8" t="s">
        <v>14</v>
      </c>
      <c r="E3" s="8" t="s">
        <v>15</v>
      </c>
      <c r="F3" s="6"/>
      <c r="G3" s="8" t="s">
        <v>12</v>
      </c>
      <c r="H3" s="8" t="s">
        <v>13</v>
      </c>
      <c r="I3" s="8" t="s">
        <v>14</v>
      </c>
      <c r="J3" s="8" t="s">
        <v>15</v>
      </c>
      <c r="K3" s="6"/>
      <c r="L3" s="34" t="s">
        <v>12</v>
      </c>
      <c r="M3" s="34" t="s">
        <v>13</v>
      </c>
      <c r="N3" s="34" t="s">
        <v>14</v>
      </c>
      <c r="O3" s="34" t="s">
        <v>15</v>
      </c>
      <c r="P3" s="35"/>
      <c r="Q3" s="36" t="s">
        <v>12</v>
      </c>
      <c r="R3" s="36" t="s">
        <v>13</v>
      </c>
      <c r="S3" s="36" t="s">
        <v>14</v>
      </c>
      <c r="T3" s="36" t="s">
        <v>15</v>
      </c>
    </row>
    <row r="4" ht="22.5" customHeight="1">
      <c r="A4" s="6"/>
      <c r="B4" s="3" t="s">
        <v>23</v>
      </c>
      <c r="C4" s="13">
        <f t="shared" ref="C4:C12" si="1">D4*E4</f>
        <v>85</v>
      </c>
      <c r="D4" s="3">
        <v>5.0</v>
      </c>
      <c r="E4" s="15">
        <v>17.0</v>
      </c>
      <c r="F4" s="6"/>
      <c r="G4" s="3" t="s">
        <v>60</v>
      </c>
      <c r="H4" s="13">
        <f t="shared" ref="H4:H10" si="2">I4*J4</f>
        <v>84.95</v>
      </c>
      <c r="I4" s="3">
        <v>5.0</v>
      </c>
      <c r="J4" s="15">
        <v>16.99</v>
      </c>
      <c r="K4" s="6"/>
      <c r="L4" s="40" t="s">
        <v>62</v>
      </c>
      <c r="M4" s="42">
        <f t="shared" ref="M4:M11" si="3">N4*O4</f>
        <v>84.95</v>
      </c>
      <c r="N4" s="43">
        <v>5.0</v>
      </c>
      <c r="O4" s="44">
        <v>16.99</v>
      </c>
      <c r="P4" s="35"/>
      <c r="Q4" s="45" t="s">
        <v>63</v>
      </c>
      <c r="R4" s="46">
        <f t="shared" ref="R4:R12" si="4">S4*T4</f>
        <v>159.9</v>
      </c>
      <c r="S4" s="47">
        <v>10.0</v>
      </c>
      <c r="T4" s="46">
        <v>15.99</v>
      </c>
    </row>
    <row r="5" ht="22.5" customHeight="1">
      <c r="A5" s="6"/>
      <c r="B5" s="3" t="s">
        <v>37</v>
      </c>
      <c r="C5" s="13">
        <f t="shared" si="1"/>
        <v>85</v>
      </c>
      <c r="D5" s="3">
        <v>5.0</v>
      </c>
      <c r="E5" s="15">
        <v>17.0</v>
      </c>
      <c r="F5" s="6"/>
      <c r="G5" s="3" t="s">
        <v>64</v>
      </c>
      <c r="H5" s="13">
        <f t="shared" si="2"/>
        <v>87.5</v>
      </c>
      <c r="I5" s="3">
        <v>5.0</v>
      </c>
      <c r="J5" s="15">
        <v>17.5</v>
      </c>
      <c r="K5" s="6"/>
      <c r="L5" s="40" t="s">
        <v>65</v>
      </c>
      <c r="M5" s="42">
        <f t="shared" si="3"/>
        <v>79.95</v>
      </c>
      <c r="N5" s="43">
        <v>5.0</v>
      </c>
      <c r="O5" s="44">
        <v>15.99</v>
      </c>
      <c r="P5" s="35"/>
      <c r="Q5" s="47" t="s">
        <v>66</v>
      </c>
      <c r="R5" s="46">
        <f t="shared" si="4"/>
        <v>94.95</v>
      </c>
      <c r="S5" s="47">
        <v>5.0</v>
      </c>
      <c r="T5" s="46">
        <v>18.99</v>
      </c>
    </row>
    <row r="6" ht="22.5" customHeight="1">
      <c r="A6" s="6"/>
      <c r="B6" s="20" t="s">
        <v>39</v>
      </c>
      <c r="C6" s="13">
        <f t="shared" si="1"/>
        <v>75</v>
      </c>
      <c r="D6" s="3">
        <v>5.0</v>
      </c>
      <c r="E6" s="15">
        <v>15.0</v>
      </c>
      <c r="F6" s="6"/>
      <c r="G6" s="20" t="s">
        <v>67</v>
      </c>
      <c r="H6" s="13">
        <f t="shared" si="2"/>
        <v>94.95</v>
      </c>
      <c r="I6" s="3">
        <v>5.0</v>
      </c>
      <c r="J6" s="15">
        <v>18.99</v>
      </c>
      <c r="K6" s="6"/>
      <c r="L6" s="48" t="s">
        <v>68</v>
      </c>
      <c r="M6" s="42">
        <f t="shared" si="3"/>
        <v>114.95</v>
      </c>
      <c r="N6" s="43">
        <v>5.0</v>
      </c>
      <c r="O6" s="44">
        <v>22.99</v>
      </c>
      <c r="P6" s="35"/>
      <c r="Q6" s="45" t="s">
        <v>69</v>
      </c>
      <c r="R6" s="46">
        <f t="shared" si="4"/>
        <v>89.95</v>
      </c>
      <c r="S6" s="47">
        <v>5.0</v>
      </c>
      <c r="T6" s="46">
        <v>17.99</v>
      </c>
    </row>
    <row r="7" ht="22.5" customHeight="1">
      <c r="A7" s="6"/>
      <c r="B7" s="3" t="s">
        <v>41</v>
      </c>
      <c r="C7" s="13">
        <f t="shared" si="1"/>
        <v>85</v>
      </c>
      <c r="D7" s="3">
        <v>5.0</v>
      </c>
      <c r="E7" s="15">
        <v>17.0</v>
      </c>
      <c r="F7" s="6"/>
      <c r="G7" s="3" t="s">
        <v>70</v>
      </c>
      <c r="H7" s="13">
        <f t="shared" si="2"/>
        <v>92.5</v>
      </c>
      <c r="I7" s="3">
        <v>5.0</v>
      </c>
      <c r="J7" s="15">
        <v>18.5</v>
      </c>
      <c r="K7" s="6"/>
      <c r="L7" s="40" t="s">
        <v>71</v>
      </c>
      <c r="M7" s="42">
        <f t="shared" si="3"/>
        <v>119.95</v>
      </c>
      <c r="N7" s="43">
        <v>5.0</v>
      </c>
      <c r="O7" s="44">
        <v>23.99</v>
      </c>
      <c r="P7" s="35"/>
      <c r="Q7" s="45" t="s">
        <v>72</v>
      </c>
      <c r="R7" s="46">
        <f t="shared" si="4"/>
        <v>114.95</v>
      </c>
      <c r="S7" s="47">
        <v>5.0</v>
      </c>
      <c r="T7" s="46">
        <v>22.99</v>
      </c>
    </row>
    <row r="8" ht="22.5" customHeight="1">
      <c r="A8" s="6"/>
      <c r="B8" s="3" t="s">
        <v>42</v>
      </c>
      <c r="C8" s="13">
        <f t="shared" si="1"/>
        <v>85</v>
      </c>
      <c r="D8" s="3">
        <v>5.0</v>
      </c>
      <c r="E8" s="15">
        <v>17.0</v>
      </c>
      <c r="F8" s="6"/>
      <c r="G8" s="3" t="s">
        <v>73</v>
      </c>
      <c r="H8" s="13">
        <f t="shared" si="2"/>
        <v>89.95</v>
      </c>
      <c r="I8" s="3">
        <v>5.0</v>
      </c>
      <c r="J8" s="15">
        <v>17.99</v>
      </c>
      <c r="K8" s="6"/>
      <c r="L8" s="40" t="s">
        <v>74</v>
      </c>
      <c r="M8" s="42">
        <f t="shared" si="3"/>
        <v>74.95</v>
      </c>
      <c r="N8" s="43">
        <v>5.0</v>
      </c>
      <c r="O8" s="44">
        <v>14.99</v>
      </c>
      <c r="P8" s="35"/>
      <c r="Q8" s="45" t="s">
        <v>75</v>
      </c>
      <c r="R8" s="46">
        <f t="shared" si="4"/>
        <v>119.95</v>
      </c>
      <c r="S8" s="47">
        <v>5.0</v>
      </c>
      <c r="T8" s="46">
        <v>23.99</v>
      </c>
    </row>
    <row r="9" ht="22.5" customHeight="1">
      <c r="A9" s="6"/>
      <c r="B9" s="3" t="s">
        <v>43</v>
      </c>
      <c r="C9" s="13">
        <f t="shared" si="1"/>
        <v>75</v>
      </c>
      <c r="D9" s="3">
        <v>5.0</v>
      </c>
      <c r="E9" s="15">
        <v>15.0</v>
      </c>
      <c r="F9" s="3" t="s">
        <v>76</v>
      </c>
      <c r="G9" s="3" t="s">
        <v>77</v>
      </c>
      <c r="H9" s="13">
        <f t="shared" si="2"/>
        <v>105</v>
      </c>
      <c r="I9" s="3">
        <v>30.0</v>
      </c>
      <c r="J9" s="15">
        <v>3.5</v>
      </c>
      <c r="K9" s="6"/>
      <c r="L9" s="40" t="s">
        <v>78</v>
      </c>
      <c r="M9" s="42">
        <f t="shared" si="3"/>
        <v>99.95</v>
      </c>
      <c r="N9" s="43">
        <v>5.0</v>
      </c>
      <c r="O9" s="44">
        <v>19.99</v>
      </c>
      <c r="P9" s="35"/>
      <c r="Q9" s="47" t="s">
        <v>79</v>
      </c>
      <c r="R9" s="46">
        <f t="shared" si="4"/>
        <v>74.95</v>
      </c>
      <c r="S9" s="47">
        <v>5.0</v>
      </c>
      <c r="T9" s="46">
        <v>14.99</v>
      </c>
    </row>
    <row r="10" ht="22.5" customHeight="1">
      <c r="A10" s="6"/>
      <c r="B10" s="3" t="s">
        <v>44</v>
      </c>
      <c r="C10" s="13">
        <f t="shared" si="1"/>
        <v>70</v>
      </c>
      <c r="D10" s="3">
        <v>5.0</v>
      </c>
      <c r="E10" s="15">
        <v>14.0</v>
      </c>
      <c r="F10" s="6"/>
      <c r="G10" s="25" t="s">
        <v>80</v>
      </c>
      <c r="H10" s="13">
        <f t="shared" si="2"/>
        <v>72.5</v>
      </c>
      <c r="I10" s="3">
        <v>5.0</v>
      </c>
      <c r="J10" s="15">
        <v>14.5</v>
      </c>
      <c r="K10" s="3"/>
      <c r="L10" s="49" t="s">
        <v>81</v>
      </c>
      <c r="M10" s="42">
        <f t="shared" si="3"/>
        <v>79.95</v>
      </c>
      <c r="N10" s="43">
        <v>5.0</v>
      </c>
      <c r="O10" s="44">
        <v>15.99</v>
      </c>
      <c r="P10" s="6"/>
      <c r="Q10" s="45" t="s">
        <v>82</v>
      </c>
      <c r="R10" s="46">
        <f t="shared" si="4"/>
        <v>74.95</v>
      </c>
      <c r="S10" s="47">
        <v>5.0</v>
      </c>
      <c r="T10" s="46">
        <v>14.99</v>
      </c>
    </row>
    <row r="11" ht="22.5" customHeight="1">
      <c r="A11" s="6"/>
      <c r="B11" s="3" t="s">
        <v>46</v>
      </c>
      <c r="C11" s="13">
        <f t="shared" si="1"/>
        <v>70</v>
      </c>
      <c r="D11" s="3">
        <v>5.0</v>
      </c>
      <c r="E11" s="15">
        <v>14.0</v>
      </c>
      <c r="F11" s="6"/>
      <c r="K11" s="6"/>
      <c r="L11" s="49" t="s">
        <v>83</v>
      </c>
      <c r="M11" s="42">
        <f t="shared" si="3"/>
        <v>89.95</v>
      </c>
      <c r="N11" s="49">
        <v>5.0</v>
      </c>
      <c r="O11" s="50">
        <v>17.99</v>
      </c>
      <c r="P11" s="35"/>
      <c r="Q11" s="45" t="s">
        <v>84</v>
      </c>
      <c r="R11" s="46">
        <f t="shared" si="4"/>
        <v>99.95</v>
      </c>
      <c r="S11" s="47">
        <v>5.0</v>
      </c>
      <c r="T11" s="46">
        <v>19.99</v>
      </c>
    </row>
    <row r="12" ht="22.5" customHeight="1">
      <c r="A12" s="6"/>
      <c r="B12" s="25" t="s">
        <v>50</v>
      </c>
      <c r="C12" s="13">
        <f t="shared" si="1"/>
        <v>37.5</v>
      </c>
      <c r="D12" s="3">
        <v>5.0</v>
      </c>
      <c r="E12" s="15">
        <v>7.5</v>
      </c>
      <c r="F12" s="6"/>
      <c r="H12" s="13"/>
      <c r="I12" s="3"/>
      <c r="J12" s="15"/>
      <c r="K12" s="6"/>
      <c r="P12" s="35"/>
      <c r="Q12" s="51" t="s">
        <v>85</v>
      </c>
      <c r="R12" s="46">
        <f t="shared" si="4"/>
        <v>89.95</v>
      </c>
      <c r="S12" s="47">
        <v>5.0</v>
      </c>
      <c r="T12" s="52">
        <v>17.99</v>
      </c>
    </row>
    <row r="13" ht="22.5" customHeight="1">
      <c r="A13" s="6"/>
      <c r="H13" s="13"/>
      <c r="I13" s="3"/>
      <c r="J13" s="15"/>
      <c r="K13" s="6"/>
      <c r="L13" s="35" t="s">
        <v>45</v>
      </c>
      <c r="M13" s="53">
        <f> Sum(M4:M11)</f>
        <v>744.6</v>
      </c>
      <c r="N13" s="35"/>
      <c r="O13" s="54"/>
      <c r="P13" s="35"/>
      <c r="Q13" s="55"/>
      <c r="R13" s="46"/>
      <c r="S13" s="55"/>
      <c r="T13" s="56"/>
    </row>
    <row r="14">
      <c r="A14" s="6"/>
      <c r="B14" s="17" t="s">
        <v>45</v>
      </c>
      <c r="C14" s="28">
        <f> Sum(C4:C12)</f>
        <v>667.5</v>
      </c>
      <c r="F14" s="6"/>
      <c r="G14" s="17" t="s">
        <v>45</v>
      </c>
      <c r="H14" s="28">
        <f> Sum(H4:H13)</f>
        <v>627.35</v>
      </c>
      <c r="K14" s="6"/>
      <c r="L14" s="17" t="s">
        <v>86</v>
      </c>
      <c r="M14" s="28">
        <f>-0.2*M13</f>
        <v>-148.92</v>
      </c>
      <c r="N14" s="35"/>
      <c r="O14" s="35"/>
      <c r="P14" s="35"/>
      <c r="Q14" s="35"/>
      <c r="R14" s="35"/>
      <c r="S14" s="35"/>
      <c r="T14" s="35"/>
    </row>
    <row r="15">
      <c r="A15" s="6"/>
      <c r="B15" s="29" t="s">
        <v>53</v>
      </c>
      <c r="C15" s="13">
        <f>D15*E15</f>
        <v>6.49</v>
      </c>
      <c r="D15" s="3">
        <v>1.0</v>
      </c>
      <c r="E15" s="15">
        <v>6.49</v>
      </c>
      <c r="F15" s="3" t="s">
        <v>87</v>
      </c>
      <c r="G15" s="29" t="s">
        <v>53</v>
      </c>
      <c r="H15" s="31">
        <v>6.49</v>
      </c>
      <c r="I15" s="3"/>
      <c r="J15" s="15"/>
      <c r="K15" s="3" t="s">
        <v>87</v>
      </c>
      <c r="L15" s="57" t="s">
        <v>53</v>
      </c>
      <c r="M15" s="31">
        <v>0.0</v>
      </c>
      <c r="N15" s="35"/>
      <c r="O15" s="54"/>
      <c r="P15" s="3"/>
      <c r="Q15" s="35" t="s">
        <v>45</v>
      </c>
      <c r="R15" s="53">
        <f> Sum(R4:R13)</f>
        <v>919.5</v>
      </c>
      <c r="S15" s="35"/>
      <c r="T15" s="54"/>
    </row>
    <row r="16">
      <c r="A16" s="6"/>
      <c r="B16" s="32" t="s">
        <v>88</v>
      </c>
      <c r="C16" s="31">
        <v>6.5</v>
      </c>
      <c r="D16" s="6"/>
      <c r="E16" s="32"/>
      <c r="F16" s="13"/>
      <c r="G16" s="32" t="s">
        <v>88</v>
      </c>
      <c r="H16" s="31">
        <v>6.5</v>
      </c>
      <c r="I16" s="6"/>
      <c r="J16" s="32"/>
      <c r="K16" s="13"/>
      <c r="L16" s="6" t="s">
        <v>88</v>
      </c>
      <c r="M16" s="31">
        <v>0.0</v>
      </c>
      <c r="N16" s="35"/>
      <c r="O16" s="35"/>
      <c r="P16" s="54"/>
      <c r="Q16" s="35" t="s">
        <v>86</v>
      </c>
      <c r="R16" s="53">
        <f>-0.2*R15</f>
        <v>-183.9</v>
      </c>
      <c r="S16" s="35"/>
      <c r="T16" s="35"/>
    </row>
    <row r="17">
      <c r="A17" s="6"/>
      <c r="B17" s="17" t="s">
        <v>56</v>
      </c>
      <c r="C17" s="28">
        <f>SUM(C14:C16)</f>
        <v>680.49</v>
      </c>
      <c r="D17" s="6"/>
      <c r="E17" s="19"/>
      <c r="F17" s="6"/>
      <c r="G17" s="17" t="s">
        <v>89</v>
      </c>
      <c r="H17" s="28">
        <f>SUM(H14:H16)</f>
        <v>640.34</v>
      </c>
      <c r="I17" s="6"/>
      <c r="J17" s="19"/>
      <c r="K17" s="6"/>
      <c r="L17" s="35" t="s">
        <v>89</v>
      </c>
      <c r="M17" s="53">
        <f>SUM(M13:M16)</f>
        <v>595.68</v>
      </c>
      <c r="N17" s="35"/>
      <c r="O17" s="58"/>
      <c r="P17" s="35"/>
      <c r="Q17" s="57" t="s">
        <v>53</v>
      </c>
      <c r="R17" s="13">
        <v>0.0</v>
      </c>
      <c r="S17" s="35"/>
      <c r="T17" s="54"/>
    </row>
    <row r="18">
      <c r="A18" s="6"/>
      <c r="B18" s="32" t="s">
        <v>58</v>
      </c>
      <c r="C18" s="31">
        <f>C17*0.13</f>
        <v>88.4637</v>
      </c>
      <c r="D18" s="6"/>
      <c r="E18" s="6"/>
      <c r="F18" s="6"/>
      <c r="G18" s="32" t="s">
        <v>58</v>
      </c>
      <c r="H18" s="31">
        <f>H17*0.13</f>
        <v>83.2442</v>
      </c>
      <c r="I18" s="6"/>
      <c r="J18" s="6"/>
      <c r="K18" s="6"/>
      <c r="L18" s="6" t="s">
        <v>58</v>
      </c>
      <c r="M18" s="13">
        <f>M17*0.13</f>
        <v>77.4384</v>
      </c>
      <c r="N18" s="35"/>
      <c r="O18" s="25" t="s">
        <v>90</v>
      </c>
      <c r="P18" s="35"/>
      <c r="Q18" s="6" t="s">
        <v>88</v>
      </c>
      <c r="R18" s="13">
        <v>0.0</v>
      </c>
      <c r="S18" s="35"/>
      <c r="T18" s="35"/>
    </row>
    <row r="19">
      <c r="A19" s="6"/>
      <c r="B19" s="17" t="s">
        <v>59</v>
      </c>
      <c r="C19" s="28">
        <f>C17*0.15</f>
        <v>102.0735</v>
      </c>
      <c r="G19" s="17" t="s">
        <v>59</v>
      </c>
      <c r="H19" s="28">
        <f>H17*0.15</f>
        <v>96.051</v>
      </c>
      <c r="J19" s="6"/>
      <c r="K19" s="3"/>
      <c r="L19" s="35" t="s">
        <v>59</v>
      </c>
      <c r="M19" s="53">
        <f>M17*0.15</f>
        <v>89.352</v>
      </c>
      <c r="N19" s="35"/>
      <c r="O19" s="25" t="s">
        <v>91</v>
      </c>
      <c r="Q19" s="35" t="s">
        <v>89</v>
      </c>
      <c r="R19" s="53">
        <f>SUM(R15:R18)</f>
        <v>735.6</v>
      </c>
      <c r="S19" s="35"/>
      <c r="T19" s="58"/>
    </row>
    <row r="20">
      <c r="A20" s="41"/>
      <c r="B20" s="37" t="s">
        <v>61</v>
      </c>
      <c r="C20" s="38">
        <f>SUM(C17:C19)</f>
        <v>871.0272</v>
      </c>
      <c r="D20" s="39"/>
      <c r="E20" s="41"/>
      <c r="F20" s="39"/>
      <c r="G20" s="37" t="s">
        <v>61</v>
      </c>
      <c r="H20" s="38">
        <f>SUM(H17:H19)</f>
        <v>819.6352</v>
      </c>
      <c r="I20" s="41"/>
      <c r="J20" s="41"/>
      <c r="K20" s="41"/>
      <c r="L20" s="37" t="s">
        <v>61</v>
      </c>
      <c r="M20" s="38">
        <f>SUM(M17:M19)</f>
        <v>762.4704</v>
      </c>
      <c r="N20" s="59"/>
      <c r="O20" s="59"/>
      <c r="P20" s="59"/>
      <c r="Q20" s="6" t="s">
        <v>58</v>
      </c>
      <c r="R20" s="13">
        <f>R19*0.13</f>
        <v>95.628</v>
      </c>
      <c r="S20" s="35"/>
      <c r="T20" s="35" t="s">
        <v>92</v>
      </c>
      <c r="U20" s="39"/>
    </row>
    <row r="21">
      <c r="A21" s="6"/>
      <c r="B21" s="60" t="s">
        <v>93</v>
      </c>
      <c r="C21" s="15">
        <f>D21*E21</f>
        <v>9</v>
      </c>
      <c r="D21" s="3">
        <v>3.0</v>
      </c>
      <c r="E21" s="15">
        <v>3.0</v>
      </c>
      <c r="F21" s="6"/>
      <c r="G21" s="60" t="s">
        <v>94</v>
      </c>
      <c r="H21" s="15">
        <f>I21*J21</f>
        <v>9</v>
      </c>
      <c r="I21" s="3">
        <v>3.0</v>
      </c>
      <c r="J21" s="15">
        <v>3.0</v>
      </c>
      <c r="K21" s="6"/>
      <c r="L21" s="61" t="s">
        <v>95</v>
      </c>
      <c r="M21" s="15">
        <f>N21*O21</f>
        <v>9</v>
      </c>
      <c r="N21" s="3">
        <v>3.0</v>
      </c>
      <c r="O21" s="15">
        <v>3.0</v>
      </c>
      <c r="P21" s="35"/>
      <c r="Q21" s="35" t="s">
        <v>59</v>
      </c>
      <c r="R21" s="53" t="s">
        <v>96</v>
      </c>
      <c r="S21" s="35"/>
      <c r="T21" s="35" t="s">
        <v>91</v>
      </c>
    </row>
    <row r="22">
      <c r="B22" s="60" t="s">
        <v>97</v>
      </c>
      <c r="C22" s="3">
        <v>14.99</v>
      </c>
      <c r="D22" s="6"/>
      <c r="E22" s="6"/>
      <c r="F22" s="6"/>
      <c r="G22" s="60" t="s">
        <v>98</v>
      </c>
      <c r="H22" s="3">
        <v>14.99</v>
      </c>
      <c r="I22" s="6"/>
      <c r="J22" s="6"/>
      <c r="K22" s="6"/>
      <c r="L22" s="61" t="s">
        <v>99</v>
      </c>
      <c r="M22" s="62">
        <v>14.99</v>
      </c>
      <c r="Q22" s="63" t="s">
        <v>61</v>
      </c>
      <c r="R22" s="38">
        <f>SUM(R19:R21)</f>
        <v>831.228</v>
      </c>
      <c r="S22" s="59"/>
      <c r="T22" s="59"/>
    </row>
    <row r="23">
      <c r="A23" s="6"/>
      <c r="B23" s="64" t="s">
        <v>100</v>
      </c>
      <c r="C23" s="3">
        <v>17.0</v>
      </c>
      <c r="D23" s="6"/>
      <c r="E23" s="6"/>
      <c r="F23" s="6"/>
      <c r="G23" s="64" t="s">
        <v>101</v>
      </c>
      <c r="H23" s="3">
        <v>17.0</v>
      </c>
      <c r="I23" s="6"/>
      <c r="J23" s="6"/>
      <c r="K23" s="6"/>
      <c r="L23" s="65" t="s">
        <v>102</v>
      </c>
      <c r="M23" s="62">
        <v>17.0</v>
      </c>
      <c r="N23" s="35"/>
      <c r="O23" s="35"/>
      <c r="P23" s="35"/>
      <c r="Q23" s="66" t="s">
        <v>103</v>
      </c>
      <c r="R23" s="13">
        <f>S23*T23</f>
        <v>9</v>
      </c>
      <c r="S23" s="62">
        <v>3.0</v>
      </c>
      <c r="T23" s="13">
        <v>3.0</v>
      </c>
    </row>
    <row r="24">
      <c r="A24" s="6"/>
      <c r="B24" s="60" t="s">
        <v>104</v>
      </c>
      <c r="C24" s="3">
        <v>13.99</v>
      </c>
      <c r="D24" s="6"/>
      <c r="E24" s="6"/>
      <c r="F24" s="6"/>
      <c r="G24" s="60" t="s">
        <v>105</v>
      </c>
      <c r="H24" s="3">
        <v>13.99</v>
      </c>
      <c r="I24" s="6"/>
      <c r="J24" s="6"/>
      <c r="K24" s="6"/>
      <c r="L24" s="61" t="s">
        <v>106</v>
      </c>
      <c r="M24" s="62">
        <v>13.99</v>
      </c>
      <c r="N24" s="35"/>
      <c r="O24" s="35"/>
      <c r="P24" s="35"/>
      <c r="Q24" s="66" t="s">
        <v>107</v>
      </c>
      <c r="R24" s="62">
        <v>14.99</v>
      </c>
      <c r="S24" s="35"/>
      <c r="T24" s="35"/>
    </row>
    <row r="25">
      <c r="A25" s="67"/>
      <c r="B25" s="68" t="s">
        <v>108</v>
      </c>
      <c r="C25" s="69">
        <f>SUM(C21:C24)</f>
        <v>54.98</v>
      </c>
      <c r="D25" s="67"/>
      <c r="E25" s="67"/>
      <c r="F25" s="67"/>
      <c r="G25" s="68" t="s">
        <v>108</v>
      </c>
      <c r="H25" s="69">
        <f>SUM(H21:H24)</f>
        <v>54.98</v>
      </c>
      <c r="I25" s="67"/>
      <c r="J25" s="67"/>
      <c r="K25" s="67"/>
      <c r="L25" s="68" t="s">
        <v>108</v>
      </c>
      <c r="M25" s="69">
        <f>SUM(M21:M24)</f>
        <v>54.98</v>
      </c>
      <c r="N25" s="70"/>
      <c r="O25" s="70"/>
      <c r="P25" s="70"/>
      <c r="Q25" s="71" t="s">
        <v>109</v>
      </c>
      <c r="R25" s="62">
        <v>17.0</v>
      </c>
      <c r="S25" s="35"/>
      <c r="T25" s="35"/>
      <c r="U25" s="72"/>
    </row>
    <row r="26">
      <c r="A26" s="6"/>
      <c r="B26" s="18" t="s">
        <v>58</v>
      </c>
      <c r="C26" s="28">
        <f>0.13*C25</f>
        <v>7.1474</v>
      </c>
      <c r="D26" s="6"/>
      <c r="E26" s="6"/>
      <c r="F26" s="6"/>
      <c r="G26" s="18" t="s">
        <v>58</v>
      </c>
      <c r="H26" s="28">
        <f>0.13*H25</f>
        <v>7.1474</v>
      </c>
      <c r="I26" s="6"/>
      <c r="J26" s="6"/>
      <c r="K26" s="6"/>
      <c r="L26" s="18" t="s">
        <v>58</v>
      </c>
      <c r="M26" s="28">
        <f>0.13*M25</f>
        <v>7.1474</v>
      </c>
      <c r="N26" s="35"/>
      <c r="O26" s="35"/>
      <c r="P26" s="35"/>
      <c r="Q26" s="66" t="s">
        <v>110</v>
      </c>
      <c r="R26" s="62">
        <v>13.99</v>
      </c>
      <c r="S26" s="35"/>
      <c r="T26" s="35"/>
    </row>
    <row r="27">
      <c r="A27" s="73"/>
      <c r="B27" s="74" t="s">
        <v>111</v>
      </c>
      <c r="C27" s="75">
        <f>SUM(C25:C26)</f>
        <v>62.1274</v>
      </c>
      <c r="D27" s="73"/>
      <c r="E27" s="73"/>
      <c r="F27" s="73"/>
      <c r="G27" s="74" t="s">
        <v>111</v>
      </c>
      <c r="H27" s="75">
        <f>SUM(H25:H26)</f>
        <v>62.1274</v>
      </c>
      <c r="I27" s="73"/>
      <c r="J27" s="73"/>
      <c r="K27" s="73"/>
      <c r="L27" s="74" t="s">
        <v>111</v>
      </c>
      <c r="M27" s="75">
        <f>SUM(M25:M26)</f>
        <v>62.1274</v>
      </c>
      <c r="N27" s="76"/>
      <c r="O27" s="76"/>
      <c r="P27" s="76"/>
      <c r="Q27" s="67" t="s">
        <v>108</v>
      </c>
      <c r="R27" s="77">
        <f>SUM(R23:R26)</f>
        <v>54.98</v>
      </c>
      <c r="S27" s="35"/>
      <c r="T27" s="35"/>
      <c r="U27" s="78"/>
    </row>
    <row r="28">
      <c r="A28" s="79"/>
      <c r="B28" s="80" t="s">
        <v>112</v>
      </c>
      <c r="C28" s="81">
        <f>SUM(C27,C20)</f>
        <v>933.1546</v>
      </c>
      <c r="D28" s="82"/>
      <c r="E28" s="82"/>
      <c r="F28" s="82"/>
      <c r="G28" s="80" t="s">
        <v>112</v>
      </c>
      <c r="H28" s="81">
        <f>SUM(H27,H20)</f>
        <v>881.7626</v>
      </c>
      <c r="I28" s="82"/>
      <c r="J28" s="82"/>
      <c r="K28" s="82"/>
      <c r="L28" s="80" t="s">
        <v>112</v>
      </c>
      <c r="M28" s="81">
        <f>SUM(M27,M20)</f>
        <v>824.5978</v>
      </c>
      <c r="N28" s="83"/>
      <c r="O28" s="83"/>
      <c r="P28" s="83"/>
      <c r="Q28" s="70" t="s">
        <v>58</v>
      </c>
      <c r="R28" s="53">
        <f>0.13*R27</f>
        <v>7.1474</v>
      </c>
      <c r="S28" s="35"/>
      <c r="T28" s="35"/>
      <c r="U28" s="79"/>
    </row>
    <row r="29">
      <c r="Q29" s="73" t="s">
        <v>111</v>
      </c>
      <c r="R29" s="84">
        <f>SUM(R27:R28)</f>
        <v>62.1274</v>
      </c>
      <c r="S29" s="85"/>
      <c r="T29" s="85"/>
    </row>
    <row r="30">
      <c r="Q30" s="80" t="s">
        <v>112</v>
      </c>
      <c r="R30" s="81">
        <f>SUM(R29,R22)</f>
        <v>893.3554</v>
      </c>
      <c r="S30" s="59"/>
      <c r="T30" s="59"/>
    </row>
  </sheetData>
  <dataValidations>
    <dataValidation type="custom" allowBlank="1" showDropDown="1" sqref="M4:M11 O4:O11 R4:R13 T4:T13">
      <formula1>AND(ISNUMBER(M4),(NOT(OR(NOT(ISERROR(DATEVALUE(M4))), AND(ISNUMBER(M4), LEFT(CELL("format", M4))="D")))))</formula1>
    </dataValidation>
  </dataValidations>
  <hyperlinks>
    <hyperlink r:id="rId1" ref="B2"/>
    <hyperlink r:id="rId2" ref="G2"/>
    <hyperlink r:id="rId3" ref="B21"/>
    <hyperlink r:id="rId4" ref="G21"/>
    <hyperlink r:id="rId5" ref="L21"/>
    <hyperlink r:id="rId6" ref="B22"/>
    <hyperlink r:id="rId7" ref="G22"/>
    <hyperlink r:id="rId8" ref="L22"/>
    <hyperlink r:id="rId9" ref="B23"/>
    <hyperlink r:id="rId10" ref="G23"/>
    <hyperlink r:id="rId11" ref="L23"/>
    <hyperlink r:id="rId12" ref="Q23"/>
    <hyperlink r:id="rId13" ref="B24"/>
    <hyperlink r:id="rId14" ref="G24"/>
    <hyperlink r:id="rId15" ref="L24"/>
    <hyperlink r:id="rId16" ref="Q24"/>
    <hyperlink r:id="rId17" ref="Q25"/>
    <hyperlink r:id="rId18" ref="Q26"/>
  </hyperlinks>
  <drawing r:id="rId19"/>
  <tableParts count="2">
    <tablePart r:id="rId22"/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/>
      <c r="C1" s="4"/>
      <c r="D1" s="6"/>
      <c r="E1" s="2" t="s">
        <v>6</v>
      </c>
      <c r="F1" s="3"/>
      <c r="G1" s="4"/>
      <c r="H1" s="6"/>
      <c r="I1" s="2" t="s">
        <v>10</v>
      </c>
      <c r="J1" s="3"/>
      <c r="K1" s="4"/>
      <c r="L1" s="6"/>
    </row>
    <row r="2">
      <c r="A2" s="8" t="s">
        <v>12</v>
      </c>
      <c r="B2" s="8" t="s">
        <v>13</v>
      </c>
      <c r="C2" s="8" t="s">
        <v>14</v>
      </c>
      <c r="D2" s="8" t="s">
        <v>15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12</v>
      </c>
      <c r="J2" s="8" t="s">
        <v>13</v>
      </c>
      <c r="K2" s="8" t="s">
        <v>14</v>
      </c>
      <c r="L2" s="8" t="s">
        <v>15</v>
      </c>
    </row>
    <row r="3">
      <c r="A3" s="3" t="s">
        <v>17</v>
      </c>
      <c r="B3" s="13">
        <f>C3*D3</f>
        <v>115.9</v>
      </c>
      <c r="C3" s="3">
        <v>5.0</v>
      </c>
      <c r="D3" s="15">
        <v>23.18</v>
      </c>
      <c r="E3" s="3" t="s">
        <v>20</v>
      </c>
      <c r="F3" s="13">
        <f t="shared" ref="F3:F5" si="1">G3*H3</f>
        <v>116.57</v>
      </c>
      <c r="G3" s="3">
        <v>1.0</v>
      </c>
      <c r="H3" s="15">
        <v>116.57</v>
      </c>
      <c r="I3" s="3" t="s">
        <v>25</v>
      </c>
      <c r="J3" s="13">
        <f>K3*L3</f>
        <v>800</v>
      </c>
      <c r="K3" s="3">
        <v>1.0</v>
      </c>
      <c r="L3" s="15">
        <v>800.0</v>
      </c>
    </row>
    <row r="4">
      <c r="A4" s="3"/>
      <c r="B4" s="13"/>
      <c r="C4" s="3"/>
      <c r="D4" s="15"/>
      <c r="E4" s="3" t="s">
        <v>31</v>
      </c>
      <c r="F4" s="13">
        <f t="shared" si="1"/>
        <v>22.71</v>
      </c>
      <c r="G4" s="3">
        <v>1.0</v>
      </c>
      <c r="H4" s="15">
        <v>22.71</v>
      </c>
      <c r="I4" s="3"/>
      <c r="J4" s="13"/>
      <c r="K4" s="3"/>
      <c r="L4" s="15"/>
    </row>
    <row r="5">
      <c r="A5" s="20"/>
      <c r="B5" s="13"/>
      <c r="C5" s="3"/>
      <c r="D5" s="15"/>
      <c r="E5" s="20" t="s">
        <v>38</v>
      </c>
      <c r="F5" s="13">
        <f t="shared" si="1"/>
        <v>46.82</v>
      </c>
      <c r="G5" s="3">
        <v>1.0</v>
      </c>
      <c r="H5" s="15">
        <v>46.82</v>
      </c>
      <c r="I5" s="20"/>
      <c r="J5" s="13"/>
      <c r="K5" s="3"/>
      <c r="L5" s="15"/>
    </row>
    <row r="6">
      <c r="A6" s="3"/>
      <c r="B6" s="13"/>
      <c r="C6" s="3"/>
      <c r="D6" s="15"/>
      <c r="E6" s="3"/>
      <c r="F6" s="13"/>
      <c r="G6" s="3"/>
      <c r="H6" s="15"/>
      <c r="I6" s="3"/>
      <c r="J6" s="13"/>
      <c r="K6" s="3"/>
      <c r="L6" s="15"/>
    </row>
    <row r="7">
      <c r="A7" s="3"/>
      <c r="B7" s="13"/>
      <c r="C7" s="3"/>
      <c r="D7" s="15"/>
      <c r="E7" s="3"/>
      <c r="F7" s="13"/>
      <c r="G7" s="3"/>
      <c r="H7" s="15"/>
      <c r="I7" s="3"/>
      <c r="J7" s="13"/>
      <c r="K7" s="3"/>
      <c r="L7" s="15"/>
    </row>
    <row r="8">
      <c r="A8" s="3"/>
      <c r="B8" s="13"/>
      <c r="C8" s="3"/>
      <c r="D8" s="15"/>
      <c r="E8" s="3"/>
      <c r="F8" s="13"/>
      <c r="G8" s="3"/>
      <c r="H8" s="15"/>
      <c r="I8" s="3"/>
      <c r="J8" s="13"/>
      <c r="K8" s="3"/>
      <c r="L8" s="15"/>
    </row>
    <row r="9">
      <c r="A9" s="3"/>
      <c r="B9" s="13"/>
      <c r="C9" s="3"/>
      <c r="D9" s="15"/>
      <c r="E9" s="3"/>
      <c r="F9" s="13"/>
      <c r="G9" s="3"/>
      <c r="H9" s="15"/>
      <c r="I9" s="3"/>
      <c r="J9" s="13"/>
      <c r="K9" s="3"/>
      <c r="L9" s="15"/>
    </row>
    <row r="10">
      <c r="A10" s="3"/>
      <c r="B10" s="13"/>
      <c r="C10" s="3"/>
      <c r="D10" s="15"/>
      <c r="E10" s="3"/>
      <c r="F10" s="13"/>
      <c r="G10" s="3"/>
      <c r="H10" s="15"/>
      <c r="I10" s="3"/>
      <c r="J10" s="13"/>
      <c r="K10" s="3"/>
      <c r="L10" s="15"/>
    </row>
    <row r="11">
      <c r="A11" s="25"/>
      <c r="B11" s="13"/>
      <c r="C11" s="3"/>
      <c r="D11" s="15"/>
      <c r="E11" s="25"/>
      <c r="F11" s="13"/>
      <c r="G11" s="3"/>
      <c r="H11" s="15"/>
      <c r="I11" s="25"/>
      <c r="J11" s="13"/>
      <c r="K11" s="3"/>
      <c r="L11" s="15"/>
    </row>
    <row r="13">
      <c r="A13" s="17" t="s">
        <v>45</v>
      </c>
      <c r="B13" s="28">
        <f> Sum(B3:B11)</f>
        <v>115.9</v>
      </c>
      <c r="E13" s="17" t="s">
        <v>45</v>
      </c>
      <c r="F13" s="28">
        <f> Sum(F3:F11)</f>
        <v>186.1</v>
      </c>
      <c r="I13" s="17" t="s">
        <v>45</v>
      </c>
      <c r="J13" s="28">
        <f> Sum(J3:J11)</f>
        <v>800</v>
      </c>
    </row>
    <row r="14">
      <c r="A14" s="29" t="s">
        <v>53</v>
      </c>
      <c r="B14" s="31">
        <v>5.0</v>
      </c>
      <c r="C14" s="3">
        <v>1.0</v>
      </c>
      <c r="D14" s="15"/>
      <c r="E14" s="29" t="s">
        <v>53</v>
      </c>
      <c r="F14" s="31">
        <v>15.0</v>
      </c>
      <c r="G14" s="3"/>
      <c r="H14" s="15"/>
      <c r="I14" s="29" t="s">
        <v>53</v>
      </c>
      <c r="J14" s="31">
        <v>15.0</v>
      </c>
      <c r="K14" s="3"/>
      <c r="L14" s="15"/>
    </row>
    <row r="15">
      <c r="A15" s="32" t="s">
        <v>55</v>
      </c>
      <c r="B15" s="31">
        <f>0.1*B13</f>
        <v>11.59</v>
      </c>
      <c r="C15" s="6"/>
      <c r="D15" s="32"/>
      <c r="E15" s="32"/>
      <c r="F15" s="31"/>
      <c r="G15" s="6"/>
      <c r="H15" s="32"/>
      <c r="I15" s="32"/>
      <c r="J15" s="31"/>
      <c r="K15" s="6"/>
      <c r="L15" s="32"/>
    </row>
    <row r="16">
      <c r="A16" s="17" t="s">
        <v>56</v>
      </c>
      <c r="B16" s="28">
        <f>SUM(B13:B15)</f>
        <v>132.49</v>
      </c>
      <c r="C16" s="6"/>
      <c r="D16" s="19"/>
      <c r="E16" s="17" t="s">
        <v>56</v>
      </c>
      <c r="F16" s="28">
        <f>SUM(F13:F15)</f>
        <v>201.1</v>
      </c>
      <c r="G16" s="6"/>
      <c r="H16" s="19"/>
      <c r="I16" s="17" t="s">
        <v>56</v>
      </c>
      <c r="J16" s="28">
        <f>SUM(J13:J15)</f>
        <v>815</v>
      </c>
      <c r="K16" s="6"/>
      <c r="L16" s="19"/>
    </row>
    <row r="17">
      <c r="A17" s="32" t="s">
        <v>58</v>
      </c>
      <c r="B17" s="31">
        <f>B16*0.13</f>
        <v>17.2237</v>
      </c>
      <c r="C17" s="6"/>
      <c r="D17" s="6"/>
      <c r="E17" s="32" t="s">
        <v>58</v>
      </c>
      <c r="F17" s="31">
        <f>F16*0.13</f>
        <v>26.143</v>
      </c>
      <c r="G17" s="6"/>
      <c r="H17" s="6"/>
      <c r="I17" s="32" t="s">
        <v>58</v>
      </c>
      <c r="J17" s="31">
        <f>J16*0.13</f>
        <v>105.95</v>
      </c>
      <c r="K17" s="6"/>
      <c r="L17" s="6"/>
    </row>
    <row r="18">
      <c r="A18" s="17" t="s">
        <v>59</v>
      </c>
      <c r="B18" s="28">
        <f>B16*0.15</f>
        <v>19.8735</v>
      </c>
    </row>
    <row r="19">
      <c r="A19" s="37" t="s">
        <v>61</v>
      </c>
      <c r="B19" s="38">
        <f>SUM(B16:B18)</f>
        <v>169.5872</v>
      </c>
      <c r="C19" s="39"/>
      <c r="D19" s="41"/>
      <c r="E19" s="37" t="s">
        <v>61</v>
      </c>
      <c r="F19" s="38">
        <f>SUM(F16:F18)</f>
        <v>227.243</v>
      </c>
      <c r="G19" s="39"/>
      <c r="H19" s="41"/>
      <c r="I19" s="37" t="s">
        <v>61</v>
      </c>
      <c r="J19" s="38">
        <f>SUM(J16:J18)</f>
        <v>920.95</v>
      </c>
      <c r="K19" s="39"/>
      <c r="L19" s="4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3"/>
      <c r="C1" s="4"/>
      <c r="D1" s="6"/>
      <c r="E1" s="2" t="s">
        <v>4</v>
      </c>
      <c r="F1" s="3"/>
      <c r="G1" s="4"/>
      <c r="H1" s="6"/>
      <c r="I1" s="2" t="s">
        <v>10</v>
      </c>
      <c r="J1" s="3"/>
      <c r="K1" s="4"/>
      <c r="L1" s="6"/>
    </row>
    <row r="2">
      <c r="A2" s="8" t="s">
        <v>12</v>
      </c>
      <c r="B2" s="8" t="s">
        <v>13</v>
      </c>
      <c r="C2" s="8" t="s">
        <v>14</v>
      </c>
      <c r="D2" s="8" t="s">
        <v>15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12</v>
      </c>
      <c r="J2" s="8" t="s">
        <v>13</v>
      </c>
      <c r="K2" s="8" t="s">
        <v>14</v>
      </c>
      <c r="L2" s="8" t="s">
        <v>15</v>
      </c>
    </row>
    <row r="3">
      <c r="A3" s="3" t="s">
        <v>16</v>
      </c>
      <c r="B3" s="13">
        <f t="shared" ref="B3:B4" si="1">C3*D3</f>
        <v>206.9</v>
      </c>
      <c r="C3" s="3">
        <v>1.0</v>
      </c>
      <c r="D3" s="15">
        <v>206.9</v>
      </c>
      <c r="E3" s="16" t="s">
        <v>23</v>
      </c>
      <c r="F3" s="13">
        <f t="shared" ref="F3:F12" si="2">G3*H3</f>
        <v>85</v>
      </c>
      <c r="G3" s="3">
        <v>5.0</v>
      </c>
      <c r="H3" s="15">
        <v>17.0</v>
      </c>
      <c r="I3" s="3" t="s">
        <v>25</v>
      </c>
      <c r="J3" s="13">
        <f>K3*L3</f>
        <v>800</v>
      </c>
      <c r="K3" s="3">
        <v>1.0</v>
      </c>
      <c r="L3" s="15">
        <v>800.0</v>
      </c>
    </row>
    <row r="4">
      <c r="A4" s="3" t="s">
        <v>33</v>
      </c>
      <c r="B4" s="13">
        <f t="shared" si="1"/>
        <v>28.1</v>
      </c>
      <c r="C4" s="3">
        <v>1.0</v>
      </c>
      <c r="D4" s="15">
        <v>28.1</v>
      </c>
      <c r="E4" s="16" t="s">
        <v>37</v>
      </c>
      <c r="F4" s="13">
        <f t="shared" si="2"/>
        <v>85</v>
      </c>
      <c r="G4" s="3">
        <v>5.0</v>
      </c>
      <c r="H4" s="15">
        <v>17.0</v>
      </c>
      <c r="I4" s="3"/>
      <c r="J4" s="13"/>
      <c r="K4" s="3"/>
      <c r="L4" s="15"/>
    </row>
    <row r="5">
      <c r="A5" s="20"/>
      <c r="B5" s="13"/>
      <c r="C5" s="3"/>
      <c r="D5" s="15"/>
      <c r="E5" s="24" t="s">
        <v>39</v>
      </c>
      <c r="F5" s="13">
        <f t="shared" si="2"/>
        <v>75</v>
      </c>
      <c r="G5" s="3">
        <v>5.0</v>
      </c>
      <c r="H5" s="15">
        <v>15.0</v>
      </c>
      <c r="I5" s="20"/>
      <c r="J5" s="13"/>
      <c r="K5" s="3"/>
      <c r="L5" s="15"/>
    </row>
    <row r="6">
      <c r="A6" s="3"/>
      <c r="B6" s="13"/>
      <c r="C6" s="3"/>
      <c r="D6" s="15"/>
      <c r="E6" s="16" t="s">
        <v>41</v>
      </c>
      <c r="F6" s="13">
        <f t="shared" si="2"/>
        <v>85</v>
      </c>
      <c r="G6" s="3">
        <v>5.0</v>
      </c>
      <c r="H6" s="15">
        <v>17.0</v>
      </c>
      <c r="I6" s="3"/>
      <c r="J6" s="13"/>
      <c r="K6" s="3"/>
      <c r="L6" s="15"/>
    </row>
    <row r="7">
      <c r="A7" s="3"/>
      <c r="B7" s="13"/>
      <c r="C7" s="3"/>
      <c r="D7" s="15"/>
      <c r="E7" s="16" t="s">
        <v>42</v>
      </c>
      <c r="F7" s="13">
        <f t="shared" si="2"/>
        <v>85</v>
      </c>
      <c r="G7" s="3">
        <v>5.0</v>
      </c>
      <c r="H7" s="15">
        <v>17.0</v>
      </c>
      <c r="I7" s="3"/>
      <c r="J7" s="13"/>
      <c r="K7" s="3"/>
      <c r="L7" s="15"/>
    </row>
    <row r="8">
      <c r="A8" s="3"/>
      <c r="B8" s="13"/>
      <c r="C8" s="3"/>
      <c r="D8" s="15"/>
      <c r="E8" s="16" t="s">
        <v>43</v>
      </c>
      <c r="F8" s="13">
        <f t="shared" si="2"/>
        <v>75</v>
      </c>
      <c r="G8" s="3">
        <v>5.0</v>
      </c>
      <c r="H8" s="15">
        <v>15.0</v>
      </c>
      <c r="I8" s="3"/>
      <c r="J8" s="13"/>
      <c r="K8" s="3"/>
      <c r="L8" s="15"/>
      <c r="N8" s="26"/>
    </row>
    <row r="9">
      <c r="A9" s="3"/>
      <c r="B9" s="13"/>
      <c r="C9" s="3"/>
      <c r="D9" s="15"/>
      <c r="E9" s="16" t="s">
        <v>44</v>
      </c>
      <c r="F9" s="13">
        <f t="shared" si="2"/>
        <v>70</v>
      </c>
      <c r="G9" s="3">
        <v>5.0</v>
      </c>
      <c r="H9" s="15">
        <v>14.0</v>
      </c>
      <c r="I9" s="3"/>
      <c r="J9" s="13"/>
      <c r="K9" s="3"/>
      <c r="L9" s="15"/>
      <c r="N9" s="26"/>
    </row>
    <row r="10">
      <c r="A10" s="3"/>
      <c r="B10" s="13"/>
      <c r="C10" s="3"/>
      <c r="D10" s="15"/>
      <c r="E10" s="16" t="s">
        <v>46</v>
      </c>
      <c r="F10" s="13">
        <f t="shared" si="2"/>
        <v>70</v>
      </c>
      <c r="G10" s="3">
        <v>5.0</v>
      </c>
      <c r="H10" s="15">
        <v>14.0</v>
      </c>
      <c r="I10" s="3"/>
      <c r="J10" s="13"/>
      <c r="K10" s="3"/>
      <c r="L10" s="15"/>
      <c r="N10" s="26"/>
    </row>
    <row r="11">
      <c r="A11" s="25"/>
      <c r="B11" s="13"/>
      <c r="C11" s="3"/>
      <c r="D11" s="15"/>
      <c r="E11" s="16" t="s">
        <v>50</v>
      </c>
      <c r="F11" s="13">
        <f t="shared" si="2"/>
        <v>37.5</v>
      </c>
      <c r="G11" s="3">
        <v>5.0</v>
      </c>
      <c r="H11" s="15">
        <v>7.5</v>
      </c>
      <c r="I11" s="25"/>
      <c r="J11" s="13"/>
      <c r="K11" s="3"/>
      <c r="L11" s="15"/>
      <c r="N11" s="26"/>
    </row>
    <row r="12">
      <c r="E12" s="17" t="s">
        <v>51</v>
      </c>
      <c r="F12" s="13">
        <f t="shared" si="2"/>
        <v>100</v>
      </c>
      <c r="G12" s="3">
        <v>40.0</v>
      </c>
      <c r="H12" s="15">
        <v>2.5</v>
      </c>
      <c r="N12" s="26"/>
    </row>
    <row r="13">
      <c r="A13" s="17" t="s">
        <v>45</v>
      </c>
      <c r="B13" s="28">
        <f> Sum(B3:B11)</f>
        <v>235</v>
      </c>
      <c r="E13" s="17" t="s">
        <v>45</v>
      </c>
      <c r="F13" s="28">
        <f> Sum(F3:F12)</f>
        <v>767.5</v>
      </c>
      <c r="I13" s="17" t="s">
        <v>45</v>
      </c>
      <c r="J13" s="28">
        <f> Sum(J3:J11)</f>
        <v>800</v>
      </c>
      <c r="N13" s="33"/>
    </row>
    <row r="14">
      <c r="A14" s="29" t="s">
        <v>53</v>
      </c>
      <c r="B14" s="31">
        <v>20.0</v>
      </c>
      <c r="C14" s="3">
        <v>1.0</v>
      </c>
      <c r="D14" s="15"/>
      <c r="E14" s="29" t="s">
        <v>53</v>
      </c>
      <c r="F14" s="31">
        <v>6.49</v>
      </c>
      <c r="G14" s="3"/>
      <c r="H14" s="15"/>
      <c r="I14" s="29" t="s">
        <v>53</v>
      </c>
      <c r="J14" s="31">
        <v>15.0</v>
      </c>
      <c r="K14" s="3"/>
      <c r="L14" s="15"/>
      <c r="N14" s="26"/>
    </row>
    <row r="15">
      <c r="A15" s="32"/>
      <c r="B15" s="31"/>
      <c r="C15" s="6"/>
      <c r="D15" s="32"/>
      <c r="E15" s="32" t="s">
        <v>57</v>
      </c>
      <c r="F15" s="31">
        <v>6.5</v>
      </c>
      <c r="G15" s="6"/>
      <c r="H15" s="32"/>
      <c r="I15" s="32"/>
      <c r="J15" s="31"/>
      <c r="K15" s="6"/>
      <c r="L15" s="32"/>
      <c r="N15" s="26"/>
    </row>
    <row r="16">
      <c r="A16" s="17" t="s">
        <v>56</v>
      </c>
      <c r="B16" s="28">
        <f>SUM(B13:B15)</f>
        <v>255</v>
      </c>
      <c r="C16" s="6"/>
      <c r="D16" s="19"/>
      <c r="E16" s="17" t="s">
        <v>56</v>
      </c>
      <c r="F16" s="28">
        <f>SUM(F13:F15)</f>
        <v>780.49</v>
      </c>
      <c r="G16" s="6"/>
      <c r="H16" s="19"/>
      <c r="I16" s="17" t="s">
        <v>56</v>
      </c>
      <c r="J16" s="28">
        <f>SUM(J13:J15)</f>
        <v>815</v>
      </c>
      <c r="K16" s="6"/>
      <c r="L16" s="19"/>
      <c r="N16" s="26"/>
    </row>
    <row r="17">
      <c r="A17" s="32" t="s">
        <v>58</v>
      </c>
      <c r="B17" s="31">
        <f>B16*0.13</f>
        <v>33.15</v>
      </c>
      <c r="C17" s="6"/>
      <c r="D17" s="6"/>
      <c r="E17" s="32" t="s">
        <v>58</v>
      </c>
      <c r="F17" s="31">
        <f>F16*0.13</f>
        <v>101.4637</v>
      </c>
      <c r="G17" s="6"/>
      <c r="H17" s="6"/>
      <c r="I17" s="32" t="s">
        <v>58</v>
      </c>
      <c r="J17" s="31">
        <f>J16*0.13</f>
        <v>105.95</v>
      </c>
      <c r="K17" s="6"/>
      <c r="L17" s="6"/>
      <c r="N17" s="26"/>
    </row>
    <row r="18">
      <c r="A18" s="17" t="s">
        <v>59</v>
      </c>
      <c r="B18" s="28">
        <f>B16*0.15</f>
        <v>38.25</v>
      </c>
      <c r="E18" s="17" t="s">
        <v>59</v>
      </c>
      <c r="F18" s="28">
        <f>F16*0.15</f>
        <v>117.0735</v>
      </c>
      <c r="N18" s="26"/>
    </row>
    <row r="19">
      <c r="A19" s="37" t="s">
        <v>61</v>
      </c>
      <c r="B19" s="38">
        <f>SUM(B16:B18)</f>
        <v>326.4</v>
      </c>
      <c r="C19" s="39"/>
      <c r="D19" s="41"/>
      <c r="E19" s="37" t="s">
        <v>61</v>
      </c>
      <c r="F19" s="38">
        <f>SUM(F16:F18)</f>
        <v>999.0272</v>
      </c>
      <c r="G19" s="39"/>
      <c r="H19" s="41"/>
      <c r="I19" s="37" t="s">
        <v>61</v>
      </c>
      <c r="J19" s="38">
        <f>SUM(J16:J18)</f>
        <v>920.95</v>
      </c>
      <c r="K19" s="39"/>
      <c r="L19" s="41"/>
      <c r="N19" s="26"/>
    </row>
    <row r="20">
      <c r="N20" s="33"/>
    </row>
  </sheetData>
  <drawing r:id="rId1"/>
</worksheet>
</file>